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oh\Documents\sourcetree\heat_load_calc\src\test\test_response_factor\"/>
    </mc:Choice>
  </mc:AlternateContent>
  <xr:revisionPtr revIDLastSave="0" documentId="13_ncr:1_{2F2EF3AC-4AF3-458B-B1D4-5D0328FAF748}" xr6:coauthVersionLast="47" xr6:coauthVersionMax="47" xr10:uidLastSave="{00000000-0000-0000-0000-000000000000}"/>
  <bookViews>
    <workbookView xWindow="10650" yWindow="345" windowWidth="17475" windowHeight="11295" tabRatio="693" firstSheet="1" activeTab="2" xr2:uid="{00000000-000D-0000-FFFF-FFFF00000000}"/>
  </bookViews>
  <sheets>
    <sheet name="変更履歴" sheetId="144" r:id="rId1"/>
    <sheet name="壁体構成" sheetId="1" r:id="rId2"/>
    <sheet name="応答係数" sheetId="91" r:id="rId3"/>
    <sheet name="応答係数Template" sheetId="1047" r:id="rId4"/>
  </sheets>
  <functionGroups builtInGroupCount="19"/>
  <externalReferences>
    <externalReference r:id="rId5"/>
  </externalReferences>
  <definedNames>
    <definedName name="Approach">#REF!</definedName>
    <definedName name="DetailOut">#REF!</definedName>
    <definedName name="DTime" localSheetId="3">[1]入力データ!$C$2</definedName>
    <definedName name="DTime">#REF!</definedName>
    <definedName name="FFcalcMethod">#REF!</definedName>
    <definedName name="fsolflr">#REF!</definedName>
    <definedName name="Lat">#REF!</definedName>
    <definedName name="Lon">#REF!</definedName>
    <definedName name="Ls">#REF!</definedName>
    <definedName name="NcalTime">#REF!</definedName>
    <definedName name="OTset">#REF!</definedName>
    <definedName name="SimEnDay">#REF!</definedName>
    <definedName name="SimEnMo">#REF!</definedName>
    <definedName name="SimStDay">#REF!</definedName>
    <definedName name="SimStMo">#REF!</definedName>
    <definedName name="パラメータ">壁体構成!$H$1:$O$1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I1" i="1"/>
  <c r="J1" i="1" s="1"/>
  <c r="K1" i="1" s="1"/>
  <c r="L1" i="1" s="1"/>
  <c r="M1" i="1" s="1"/>
  <c r="N1" i="1" s="1"/>
  <c r="O1" i="1" s="1"/>
  <c r="P1" i="1" s="1"/>
  <c r="Q1" i="1"/>
  <c r="H1" i="1"/>
  <c r="F11" i="1"/>
  <c r="G11" i="1"/>
  <c r="F12" i="1" l="1"/>
  <c r="L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佐藤誠</author>
    <author>satoh</author>
  </authors>
  <commentList>
    <comment ref="D3" authorId="0" shapeId="0" xr:uid="{01A7B5AA-D1B8-4D8D-AD9C-AB73FDD4C7E1}">
      <text>
        <r>
          <rPr>
            <b/>
            <sz val="9"/>
            <color indexed="81"/>
            <rFont val="MS P ゴシック"/>
            <family val="3"/>
            <charset val="128"/>
          </rPr>
          <t>佐藤誠:</t>
        </r>
        <r>
          <rPr>
            <sz val="9"/>
            <color indexed="81"/>
            <rFont val="MS P ゴシック"/>
            <family val="3"/>
            <charset val="128"/>
          </rPr>
          <t xml:space="preserve">
空欄なら定常項とする</t>
        </r>
      </text>
    </comment>
    <comment ref="A4" authorId="1" shapeId="0" xr:uid="{BE9D6446-3089-40F3-8B6A-4AC487BE9905}">
      <text>
        <r>
          <rPr>
            <b/>
            <sz val="9"/>
            <color indexed="81"/>
            <rFont val="ＭＳ Ｐゴシック"/>
            <family val="3"/>
            <charset val="128"/>
          </rPr>
          <t>satoh:</t>
        </r>
        <r>
          <rPr>
            <sz val="9"/>
            <color indexed="81"/>
            <rFont val="ＭＳ Ｐゴシック"/>
            <family val="3"/>
            <charset val="128"/>
          </rPr>
          <t xml:space="preserve">
「床」の文言が含まれるものが床扱い
（透過日射が集中的に吸収される）</t>
        </r>
      </text>
    </comment>
  </commentList>
</comments>
</file>

<file path=xl/sharedStrings.xml><?xml version="1.0" encoding="utf-8"?>
<sst xmlns="http://schemas.openxmlformats.org/spreadsheetml/2006/main" count="58" uniqueCount="54">
  <si>
    <t>日付</t>
    <rPh sb="0" eb="2">
      <t>ヒヅケ</t>
    </rPh>
    <phoneticPr fontId="3"/>
  </si>
  <si>
    <t>[-]</t>
    <phoneticPr fontId="3"/>
  </si>
  <si>
    <t>熱伝導率</t>
    <rPh sb="0" eb="1">
      <t>ネツ</t>
    </rPh>
    <rPh sb="1" eb="4">
      <t>デンドウリツ</t>
    </rPh>
    <phoneticPr fontId="3"/>
  </si>
  <si>
    <t>容積比熱</t>
    <rPh sb="0" eb="2">
      <t>ヨウセキ</t>
    </rPh>
    <rPh sb="2" eb="4">
      <t>ヒネツ</t>
    </rPh>
    <phoneticPr fontId="3"/>
  </si>
  <si>
    <t>厚さ</t>
    <rPh sb="0" eb="1">
      <t>アツ</t>
    </rPh>
    <phoneticPr fontId="3"/>
  </si>
  <si>
    <t>R熱抵抗</t>
    <rPh sb="1" eb="2">
      <t>ネツ</t>
    </rPh>
    <rPh sb="2" eb="4">
      <t>テイコウ</t>
    </rPh>
    <phoneticPr fontId="3"/>
  </si>
  <si>
    <t>C単位面積熱容量</t>
    <rPh sb="1" eb="3">
      <t>タンイ</t>
    </rPh>
    <rPh sb="3" eb="5">
      <t>メンセキ</t>
    </rPh>
    <rPh sb="5" eb="8">
      <t>ネツヨウリョウ</t>
    </rPh>
    <phoneticPr fontId="3"/>
  </si>
  <si>
    <t>[mm]</t>
  </si>
  <si>
    <t>部材</t>
    <rPh sb="0" eb="2">
      <t>ブザイ</t>
    </rPh>
    <phoneticPr fontId="3"/>
  </si>
  <si>
    <t>部位名称</t>
    <rPh sb="0" eb="2">
      <t>ブイ</t>
    </rPh>
    <rPh sb="2" eb="4">
      <t>メイショウ</t>
    </rPh>
    <phoneticPr fontId="3"/>
  </si>
  <si>
    <t>熱貫流率</t>
    <rPh sb="0" eb="1">
      <t>ネツ</t>
    </rPh>
    <rPh sb="1" eb="3">
      <t>カンリュウ</t>
    </rPh>
    <rPh sb="3" eb="4">
      <t>リツ</t>
    </rPh>
    <phoneticPr fontId="3"/>
  </si>
  <si>
    <t>時間間隔</t>
    <rPh sb="0" eb="2">
      <t>ジカン</t>
    </rPh>
    <rPh sb="2" eb="4">
      <t>カンカク</t>
    </rPh>
    <phoneticPr fontId="3"/>
  </si>
  <si>
    <t>s</t>
    <phoneticPr fontId="3"/>
  </si>
  <si>
    <t>作成項数</t>
    <rPh sb="0" eb="2">
      <t>サクセイ</t>
    </rPh>
    <rPh sb="2" eb="4">
      <t>コウスウ</t>
    </rPh>
    <phoneticPr fontId="3"/>
  </si>
  <si>
    <t>時間</t>
    <rPh sb="0" eb="2">
      <t>ジカン</t>
    </rPh>
    <phoneticPr fontId="3"/>
  </si>
  <si>
    <t>[kJ/m3K]</t>
    <phoneticPr fontId="3"/>
  </si>
  <si>
    <t>室外側放射率</t>
    <rPh sb="0" eb="2">
      <t>シツガイ</t>
    </rPh>
    <rPh sb="2" eb="3">
      <t>ガワ</t>
    </rPh>
    <rPh sb="3" eb="6">
      <t>ホウシャリツ</t>
    </rPh>
    <phoneticPr fontId="3"/>
  </si>
  <si>
    <t>室外側日射吸収率</t>
    <rPh sb="0" eb="2">
      <t>シツガイ</t>
    </rPh>
    <rPh sb="2" eb="3">
      <t>ガワ</t>
    </rPh>
    <rPh sb="3" eb="5">
      <t>ニッシャ</t>
    </rPh>
    <rPh sb="5" eb="7">
      <t>キュウシュウ</t>
    </rPh>
    <rPh sb="7" eb="8">
      <t>リツ</t>
    </rPh>
    <phoneticPr fontId="3"/>
  </si>
  <si>
    <t>対象</t>
    <rPh sb="0" eb="2">
      <t>タイショウ</t>
    </rPh>
    <phoneticPr fontId="3"/>
  </si>
  <si>
    <t>内容</t>
    <rPh sb="0" eb="2">
      <t>ナイヨウ</t>
    </rPh>
    <phoneticPr fontId="3"/>
  </si>
  <si>
    <t>室内放射熱伝達率</t>
    <rPh sb="0" eb="2">
      <t>シツナイ</t>
    </rPh>
    <rPh sb="2" eb="4">
      <t>ホウシャ</t>
    </rPh>
    <rPh sb="4" eb="8">
      <t>ネツデンタツリツ</t>
    </rPh>
    <phoneticPr fontId="3"/>
  </si>
  <si>
    <t>[W/(m2･K)]</t>
    <phoneticPr fontId="3"/>
  </si>
  <si>
    <t>室内対流熱伝達率</t>
    <rPh sb="0" eb="2">
      <t>シツナイ</t>
    </rPh>
    <rPh sb="2" eb="4">
      <t>タイリュウ</t>
    </rPh>
    <rPh sb="4" eb="8">
      <t>ネツデンタツリツ</t>
    </rPh>
    <phoneticPr fontId="3"/>
  </si>
  <si>
    <t>[m2K/W]</t>
    <phoneticPr fontId="3"/>
  </si>
  <si>
    <t>[W/mK]</t>
    <phoneticPr fontId="3"/>
  </si>
  <si>
    <t>[kJ/m2K]</t>
    <phoneticPr fontId="3"/>
  </si>
  <si>
    <t>貫流応答（単位）</t>
  </si>
  <si>
    <t>吸熱応答（単位）</t>
  </si>
  <si>
    <t>貫流応答（二等辺三角）</t>
  </si>
  <si>
    <t>吸熱応答（二等辺三角）</t>
  </si>
  <si>
    <t>根（α）</t>
  </si>
  <si>
    <t>公比</t>
  </si>
  <si>
    <t>指数項別貫流応答</t>
  </si>
  <si>
    <t>指数項別吸熱応答</t>
  </si>
  <si>
    <t>固定根α</t>
    <rPh sb="0" eb="2">
      <t>コテイ</t>
    </rPh>
    <rPh sb="2" eb="3">
      <t>コン</t>
    </rPh>
    <phoneticPr fontId="3"/>
  </si>
  <si>
    <t>ラプラス変数s</t>
    <rPh sb="4" eb="6">
      <t>ヘンスウ</t>
    </rPh>
    <phoneticPr fontId="3"/>
  </si>
  <si>
    <t>↑ラプラス変数が空欄の場合は、固定根から等比数列によってラプラス変数を生成する</t>
    <rPh sb="5" eb="7">
      <t>ヘンスウ</t>
    </rPh>
    <rPh sb="8" eb="10">
      <t>クウラン</t>
    </rPh>
    <rPh sb="11" eb="13">
      <t>バアイ</t>
    </rPh>
    <rPh sb="15" eb="17">
      <t>コテイ</t>
    </rPh>
    <rPh sb="17" eb="18">
      <t>コン</t>
    </rPh>
    <rPh sb="20" eb="22">
      <t>トウヒ</t>
    </rPh>
    <rPh sb="22" eb="24">
      <t>スウレツ</t>
    </rPh>
    <rPh sb="32" eb="34">
      <t>ヘンスウ</t>
    </rPh>
    <rPh sb="35" eb="37">
      <t>セイセイ</t>
    </rPh>
    <phoneticPr fontId="3"/>
  </si>
  <si>
    <t>A0周期</t>
    <rPh sb="2" eb="4">
      <t>シュウキ</t>
    </rPh>
    <phoneticPr fontId="3"/>
  </si>
  <si>
    <t>全体</t>
    <rPh sb="0" eb="2">
      <t>ゼンタイ</t>
    </rPh>
    <phoneticPr fontId="3"/>
  </si>
  <si>
    <t>応答係数を計算する部分を抜粋</t>
    <rPh sb="0" eb="2">
      <t>オウトウ</t>
    </rPh>
    <rPh sb="2" eb="4">
      <t>ケイスウ</t>
    </rPh>
    <rPh sb="5" eb="7">
      <t>ケイサン</t>
    </rPh>
    <rPh sb="9" eb="11">
      <t>ブブン</t>
    </rPh>
    <rPh sb="12" eb="14">
      <t>バッスイ</t>
    </rPh>
    <phoneticPr fontId="3"/>
  </si>
  <si>
    <t>石こうボード</t>
    <rPh sb="0" eb="1">
      <t>セッ</t>
    </rPh>
    <phoneticPr fontId="3"/>
  </si>
  <si>
    <t>非密閉中空層</t>
    <rPh sb="0" eb="1">
      <t>ヒ</t>
    </rPh>
    <rPh sb="1" eb="3">
      <t>ミッペイ</t>
    </rPh>
    <rPh sb="3" eb="6">
      <t>チュウクウソウ</t>
    </rPh>
    <phoneticPr fontId="3"/>
  </si>
  <si>
    <t>コンクリート</t>
    <phoneticPr fontId="3"/>
  </si>
  <si>
    <t>押出法ポリスチレンフォーム保温板2種</t>
    <rPh sb="0" eb="2">
      <t>オシダシ</t>
    </rPh>
    <rPh sb="2" eb="3">
      <t>ホウ</t>
    </rPh>
    <rPh sb="13" eb="16">
      <t>ホオンバン</t>
    </rPh>
    <rPh sb="17" eb="18">
      <t>シュ</t>
    </rPh>
    <phoneticPr fontId="3"/>
  </si>
  <si>
    <t>室外側熱伝達率</t>
    <rPh sb="0" eb="2">
      <t>シツガイ</t>
    </rPh>
    <rPh sb="2" eb="3">
      <t>ガワ</t>
    </rPh>
    <rPh sb="3" eb="7">
      <t>ネツデンタツリツ</t>
    </rPh>
    <phoneticPr fontId="3"/>
  </si>
  <si>
    <t>パラメータAT</t>
  </si>
  <si>
    <t>パラメータAA</t>
  </si>
  <si>
    <t>ラプラス変数</t>
  </si>
  <si>
    <t>伝達関数GT</t>
  </si>
  <si>
    <t>伝達関数GA</t>
  </si>
  <si>
    <t>壁体</t>
  </si>
  <si>
    <t>壁体</t>
    <rPh sb="0" eb="2">
      <t>ヘキタイ</t>
    </rPh>
    <phoneticPr fontId="3"/>
  </si>
  <si>
    <t>モルタル</t>
    <phoneticPr fontId="3"/>
  </si>
  <si>
    <t>公比</t>
    <rPh sb="0" eb="2">
      <t>コウヒ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</si>
</sst>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0"/>
    <numFmt numFmtId="177" formatCode="0.000"/>
    <numFmt numFmtId="178" formatCode="yyyy/m/d;@"/>
    <numFmt numFmtId="179" formatCode="0.0000E+00"/>
    <numFmt numFmtId="180" formatCode="0.000000"/>
    <numFmt numFmtId="181" formatCode="0.0000000000"/>
  </numFmts>
  <fonts count="13"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 tint="0.34998626667073579"/>
      <name val="ＭＳ Ｐゴシック"/>
      <family val="2"/>
      <charset val="128"/>
      <scheme val="minor"/>
    </font>
    <font>
      <sz val="9"/>
      <color theme="1" tint="0.34998626667073579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/>
  </cellStyleXfs>
  <cellXfs count="33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10" fillId="2" borderId="1" xfId="0" applyFont="1" applyFill="1" applyBorder="1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0" fillId="2" borderId="1" xfId="0" applyFont="1" applyFill="1" applyBorder="1" applyAlignment="1">
      <alignment horizontal="centerContinuous" vertical="center" wrapText="1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2" fontId="0" fillId="3" borderId="4" xfId="0" applyNumberFormat="1" applyFill="1" applyBorder="1" applyAlignment="1">
      <alignment horizontal="centerContinuous" vertical="center"/>
    </xf>
    <xf numFmtId="0" fontId="0" fillId="0" borderId="1" xfId="0" applyFill="1" applyBorder="1" applyAlignment="1">
      <alignment vertical="center" wrapText="1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NumberFormat="1" applyFill="1" applyBorder="1">
      <alignment vertical="center"/>
    </xf>
    <xf numFmtId="2" fontId="0" fillId="0" borderId="3" xfId="0" applyNumberFormat="1" applyFill="1" applyBorder="1" applyAlignment="1">
      <alignment horizontal="centerContinuous" vertical="center"/>
    </xf>
    <xf numFmtId="177" fontId="0" fillId="0" borderId="0" xfId="0" applyNumberFormat="1">
      <alignment vertical="center"/>
    </xf>
    <xf numFmtId="180" fontId="0" fillId="0" borderId="1" xfId="1" applyNumberFormat="1" applyFont="1" applyBorder="1">
      <alignment vertical="center"/>
    </xf>
    <xf numFmtId="181" fontId="0" fillId="0" borderId="1" xfId="0" applyNumberFormat="1" applyBorder="1">
      <alignment vertical="center"/>
    </xf>
  </cellXfs>
  <cellStyles count="17">
    <cellStyle name="パーセント 2" xfId="3" xr:uid="{00000000-0005-0000-0000-000000000000}"/>
    <cellStyle name="桁区切り" xfId="1" builtinId="6"/>
    <cellStyle name="桁区切り 2" xfId="4" xr:uid="{00000000-0005-0000-0000-000002000000}"/>
    <cellStyle name="桁区切り 2 2" xfId="5" xr:uid="{00000000-0005-0000-0000-000003000000}"/>
    <cellStyle name="桁区切り 2 2 2" xfId="6" xr:uid="{00000000-0005-0000-0000-000004000000}"/>
    <cellStyle name="桁区切り 2 3" xfId="7" xr:uid="{00000000-0005-0000-0000-000005000000}"/>
    <cellStyle name="桁区切り 3" xfId="8" xr:uid="{00000000-0005-0000-0000-000006000000}"/>
    <cellStyle name="桁区切り 4" xfId="9" xr:uid="{00000000-0005-0000-0000-000007000000}"/>
    <cellStyle name="標準" xfId="0" builtinId="0"/>
    <cellStyle name="標準 10" xfId="10" xr:uid="{00000000-0005-0000-0000-000009000000}"/>
    <cellStyle name="標準 11" xfId="11" xr:uid="{00000000-0005-0000-0000-00000A000000}"/>
    <cellStyle name="標準 12" xfId="12" xr:uid="{00000000-0005-0000-0000-00000B000000}"/>
    <cellStyle name="標準 2" xfId="13" xr:uid="{00000000-0005-0000-0000-00000C000000}"/>
    <cellStyle name="標準 2 2" xfId="14" xr:uid="{00000000-0005-0000-0000-00000D000000}"/>
    <cellStyle name="標準 3" xfId="15" xr:uid="{00000000-0005-0000-0000-00000E000000}"/>
    <cellStyle name="標準 4" xfId="2" xr:uid="{00000000-0005-0000-0000-00000F000000}"/>
    <cellStyle name="標準 9" xfId="16" xr:uid="{00000000-0005-0000-0000-000010000000}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99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応答係数!$AX$2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応答係数!$AX$3:$AX$803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F-43CB-8212-0E2DB5FB38FE}"/>
            </c:ext>
          </c:extLst>
        </c:ser>
        <c:ser>
          <c:idx val="1"/>
          <c:order val="1"/>
          <c:tx>
            <c:strRef>
              <c:f>応答係数!$AY$2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応答係数!$AY$3:$AY$803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4F-43CB-8212-0E2DB5FB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2560696"/>
        <c:axId val="722557416"/>
      </c:lineChart>
      <c:catAx>
        <c:axId val="72256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57416"/>
        <c:crosses val="autoZero"/>
        <c:auto val="1"/>
        <c:lblAlgn val="ctr"/>
        <c:lblOffset val="100"/>
        <c:noMultiLvlLbl val="0"/>
      </c:catAx>
      <c:valAx>
        <c:axId val="72255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6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1.1066437402446283E-2</c:v>
                </c:pt>
                <c:pt idx="1">
                  <c:v>9.1359002229936065E-2</c:v>
                </c:pt>
                <c:pt idx="2">
                  <c:v>0.11751773858100281</c:v>
                </c:pt>
                <c:pt idx="3">
                  <c:v>0.12974510910685691</c:v>
                </c:pt>
                <c:pt idx="4">
                  <c:v>0.13771746330628284</c:v>
                </c:pt>
                <c:pt idx="5">
                  <c:v>0.14403912209902051</c:v>
                </c:pt>
                <c:pt idx="6">
                  <c:v>0.14957064349154497</c:v>
                </c:pt>
                <c:pt idx="7">
                  <c:v>0.154678270091679</c:v>
                </c:pt>
                <c:pt idx="8">
                  <c:v>0.15955130896184885</c:v>
                </c:pt>
                <c:pt idx="9">
                  <c:v>0.16429752339156539</c:v>
                </c:pt>
                <c:pt idx="10">
                  <c:v>0.16898004974684327</c:v>
                </c:pt>
                <c:pt idx="11">
                  <c:v>0.17363556311554168</c:v>
                </c:pt>
                <c:pt idx="12">
                  <c:v>0.17828462307251272</c:v>
                </c:pt>
                <c:pt idx="13">
                  <c:v>0.18293795848352257</c:v>
                </c:pt>
                <c:pt idx="14">
                  <c:v>0.18760037227384563</c:v>
                </c:pt>
                <c:pt idx="15">
                  <c:v>0.19227317846610695</c:v>
                </c:pt>
                <c:pt idx="16">
                  <c:v>0.19695571759484801</c:v>
                </c:pt>
                <c:pt idx="17">
                  <c:v>0.20164629061717038</c:v>
                </c:pt>
                <c:pt idx="18">
                  <c:v>0.20634272616409416</c:v>
                </c:pt>
                <c:pt idx="19">
                  <c:v>0.21104271742414504</c:v>
                </c:pt>
                <c:pt idx="20">
                  <c:v>0.21574401515402619</c:v>
                </c:pt>
                <c:pt idx="21">
                  <c:v>0.22044453163323041</c:v>
                </c:pt>
                <c:pt idx="22">
                  <c:v>0.22514239021303933</c:v>
                </c:pt>
                <c:pt idx="23">
                  <c:v>0.22983594227826493</c:v>
                </c:pt>
                <c:pt idx="24">
                  <c:v>0.23452376528401847</c:v>
                </c:pt>
                <c:pt idx="25">
                  <c:v>0.23920465035499747</c:v>
                </c:pt>
                <c:pt idx="26">
                  <c:v>0.2438775846595824</c:v>
                </c:pt>
                <c:pt idx="27">
                  <c:v>0.24854173170542668</c:v>
                </c:pt>
                <c:pt idx="28">
                  <c:v>0.25319641140681065</c:v>
                </c:pt>
                <c:pt idx="29">
                  <c:v>0.25784108096612501</c:v>
                </c:pt>
                <c:pt idx="30">
                  <c:v>0.26247531711330852</c:v>
                </c:pt>
                <c:pt idx="31">
                  <c:v>0.26709879994406205</c:v>
                </c:pt>
                <c:pt idx="32">
                  <c:v>0.27171129841750807</c:v>
                </c:pt>
                <c:pt idx="33">
                  <c:v>0.27631265747062872</c:v>
                </c:pt>
                <c:pt idx="34">
                  <c:v>0.28090278665112106</c:v>
                </c:pt>
                <c:pt idx="35">
                  <c:v>0.2854816501436398</c:v>
                </c:pt>
                <c:pt idx="36">
                  <c:v>0.29004925805529264</c:v>
                </c:pt>
                <c:pt idx="37">
                  <c:v>0.29460565882719575</c:v>
                </c:pt>
                <c:pt idx="38">
                  <c:v>0.29915093264561388</c:v>
                </c:pt>
                <c:pt idx="39">
                  <c:v>0.30368518573562758</c:v>
                </c:pt>
                <c:pt idx="40">
                  <c:v>0.30820854543095799</c:v>
                </c:pt>
                <c:pt idx="41">
                  <c:v>0.31272115592437627</c:v>
                </c:pt>
                <c:pt idx="42">
                  <c:v>0.31722317461350197</c:v>
                </c:pt>
                <c:pt idx="43">
                  <c:v>0.32171476896656004</c:v>
                </c:pt>
                <c:pt idx="44">
                  <c:v>0.32619611384147351</c:v>
                </c:pt>
                <c:pt idx="45">
                  <c:v>0.33066738919974831</c:v>
                </c:pt>
                <c:pt idx="46">
                  <c:v>0.33512877816372022</c:v>
                </c:pt>
                <c:pt idx="47">
                  <c:v>0.33958046537211645</c:v>
                </c:pt>
                <c:pt idx="48">
                  <c:v>0.3440226355945048</c:v>
                </c:pt>
                <c:pt idx="49">
                  <c:v>0.34845547257017279</c:v>
                </c:pt>
                <c:pt idx="50">
                  <c:v>0.35287915804131187</c:v>
                </c:pt>
                <c:pt idx="51">
                  <c:v>0.35729387095423937</c:v>
                </c:pt>
                <c:pt idx="52">
                  <c:v>0.3616997868057264</c:v>
                </c:pt>
                <c:pt idx="53">
                  <c:v>0.36609707711444117</c:v>
                </c:pt>
                <c:pt idx="54">
                  <c:v>0.37048590900008899</c:v>
                </c:pt>
                <c:pt idx="55">
                  <c:v>0.37486644485507858</c:v>
                </c:pt>
                <c:pt idx="56">
                  <c:v>0.3792388420955094</c:v>
                </c:pt>
                <c:pt idx="57">
                  <c:v>0.38360325298000014</c:v>
                </c:pt>
                <c:pt idx="58">
                  <c:v>0.38795982448635136</c:v>
                </c:pt>
                <c:pt idx="59">
                  <c:v>0.39230869823738901</c:v>
                </c:pt>
                <c:pt idx="60">
                  <c:v>0.3966500104684374</c:v>
                </c:pt>
                <c:pt idx="61">
                  <c:v>0.40098389202990148</c:v>
                </c:pt>
                <c:pt idx="62">
                  <c:v>0.40531046841928398</c:v>
                </c:pt>
                <c:pt idx="63">
                  <c:v>0.40962985983774097</c:v>
                </c:pt>
                <c:pt idx="64">
                  <c:v>0.41394218126693211</c:v>
                </c:pt>
                <c:pt idx="65">
                  <c:v>0.41824754256250696</c:v>
                </c:pt>
                <c:pt idx="66">
                  <c:v>0.42254604856106714</c:v>
                </c:pt>
                <c:pt idx="67">
                  <c:v>0.42683779919787979</c:v>
                </c:pt>
                <c:pt idx="68">
                  <c:v>0.43112288963301365</c:v>
                </c:pt>
                <c:pt idx="69">
                  <c:v>0.43540141038387986</c:v>
                </c:pt>
                <c:pt idx="70">
                  <c:v>0.43967344746247489</c:v>
                </c:pt>
                <c:pt idx="71">
                  <c:v>0.44393908251585074</c:v>
                </c:pt>
                <c:pt idx="72">
                  <c:v>0.44819839296856756</c:v>
                </c:pt>
                <c:pt idx="73">
                  <c:v>0.4524514521660794</c:v>
                </c:pt>
                <c:pt idx="74">
                  <c:v>0.45669832951814993</c:v>
                </c:pt>
                <c:pt idx="75">
                  <c:v>0.46093909064156152</c:v>
                </c:pt>
                <c:pt idx="76">
                  <c:v>0.46517379750147786</c:v>
                </c:pt>
                <c:pt idx="77">
                  <c:v>0.46940250855095933</c:v>
                </c:pt>
                <c:pt idx="78">
                  <c:v>0.47362527886818473</c:v>
                </c:pt>
                <c:pt idx="79">
                  <c:v>0.47784216029105309</c:v>
                </c:pt>
                <c:pt idx="80">
                  <c:v>0.48205320154886955</c:v>
                </c:pt>
                <c:pt idx="81">
                  <c:v>0.48625844839091381</c:v>
                </c:pt>
                <c:pt idx="82">
                  <c:v>0.49045794371170987</c:v>
                </c:pt>
                <c:pt idx="83">
                  <c:v>0.49465172767287513</c:v>
                </c:pt>
                <c:pt idx="84">
                  <c:v>0.49883983782147145</c:v>
                </c:pt>
                <c:pt idx="85">
                  <c:v>0.50302230920479218</c:v>
                </c:pt>
                <c:pt idx="86">
                  <c:v>0.5071991744815546</c:v>
                </c:pt>
                <c:pt idx="87">
                  <c:v>0.51137046402950148</c:v>
                </c:pt>
                <c:pt idx="88">
                  <c:v>0.5155362060494213</c:v>
                </c:pt>
                <c:pt idx="89">
                  <c:v>0.51969642666560556</c:v>
                </c:pt>
                <c:pt idx="90">
                  <c:v>0.52385115002280391</c:v>
                </c:pt>
                <c:pt idx="91">
                  <c:v>0.52800039837971147</c:v>
                </c:pt>
                <c:pt idx="92">
                  <c:v>0.53214419219906683</c:v>
                </c:pt>
                <c:pt idx="93">
                  <c:v>0.53628255023441473</c:v>
                </c:pt>
                <c:pt idx="94">
                  <c:v>0.54041548961362085</c:v>
                </c:pt>
                <c:pt idx="95">
                  <c:v>0.54454302591921155</c:v>
                </c:pt>
                <c:pt idx="96">
                  <c:v>0.54866517326562192</c:v>
                </c:pt>
                <c:pt idx="97">
                  <c:v>0.5527819443734352</c:v>
                </c:pt>
                <c:pt idx="98">
                  <c:v>0.55689335064070988</c:v>
                </c:pt>
                <c:pt idx="99">
                  <c:v>0.5609994022114666</c:v>
                </c:pt>
                <c:pt idx="100">
                  <c:v>0.56510010804143329</c:v>
                </c:pt>
                <c:pt idx="101">
                  <c:v>0.56919547596113995</c:v>
                </c:pt>
                <c:pt idx="102">
                  <c:v>0.57328551273643036</c:v>
                </c:pt>
                <c:pt idx="103">
                  <c:v>0.5773702241265023</c:v>
                </c:pt>
                <c:pt idx="104">
                  <c:v>0.58144961493954461</c:v>
                </c:pt>
                <c:pt idx="105">
                  <c:v>0.58552368908605579</c:v>
                </c:pt>
                <c:pt idx="106">
                  <c:v>0.5895924496299354</c:v>
                </c:pt>
                <c:pt idx="107">
                  <c:v>0.59365589883741543</c:v>
                </c:pt>
                <c:pt idx="108">
                  <c:v>0.59771403822392166</c:v>
                </c:pt>
                <c:pt idx="109">
                  <c:v>0.6017668685989348</c:v>
                </c:pt>
                <c:pt idx="110">
                  <c:v>0.60581439010892391</c:v>
                </c:pt>
                <c:pt idx="111">
                  <c:v>0.60985660227842942</c:v>
                </c:pt>
                <c:pt idx="112">
                  <c:v>0.61389350404936582</c:v>
                </c:pt>
                <c:pt idx="113">
                  <c:v>0.61792509381860483</c:v>
                </c:pt>
                <c:pt idx="114">
                  <c:v>0.62195136947391261</c:v>
                </c:pt>
                <c:pt idx="115">
                  <c:v>0.62597232842830364</c:v>
                </c:pt>
                <c:pt idx="116">
                  <c:v>0.62998796765286014</c:v>
                </c:pt>
                <c:pt idx="117">
                  <c:v>0.63399828370810596</c:v>
                </c:pt>
                <c:pt idx="118">
                  <c:v>0.63800327277395541</c:v>
                </c:pt>
                <c:pt idx="119">
                  <c:v>0.64200293067832259</c:v>
                </c:pt>
                <c:pt idx="120">
                  <c:v>0.64599725292442711</c:v>
                </c:pt>
                <c:pt idx="121">
                  <c:v>0.64998623471685746</c:v>
                </c:pt>
                <c:pt idx="122">
                  <c:v>0.65396987098643522</c:v>
                </c:pt>
                <c:pt idx="123">
                  <c:v>0.65794815641393434</c:v>
                </c:pt>
                <c:pt idx="124">
                  <c:v>0.66192108545269657</c:v>
                </c:pt>
                <c:pt idx="125">
                  <c:v>0.66588865235018802</c:v>
                </c:pt>
                <c:pt idx="126">
                  <c:v>0.66985085116854393</c:v>
                </c:pt>
                <c:pt idx="127">
                  <c:v>0.67380767580414036</c:v>
                </c:pt>
                <c:pt idx="128">
                  <c:v>0.67775912000623029</c:v>
                </c:pt>
                <c:pt idx="129">
                  <c:v>0.6817051773946845</c:v>
                </c:pt>
                <c:pt idx="130">
                  <c:v>0.68564584147687713</c:v>
                </c:pt>
                <c:pt idx="131">
                  <c:v>0.6895811056637412</c:v>
                </c:pt>
                <c:pt idx="132">
                  <c:v>0.69351096328504347</c:v>
                </c:pt>
                <c:pt idx="133">
                  <c:v>0.69743540760389611</c:v>
                </c:pt>
                <c:pt idx="134">
                  <c:v>0.70135443183054491</c:v>
                </c:pt>
                <c:pt idx="135">
                  <c:v>0.70526802913546516</c:v>
                </c:pt>
                <c:pt idx="136">
                  <c:v>0.70917619266178611</c:v>
                </c:pt>
                <c:pt idx="137">
                  <c:v>0.71307891553708302</c:v>
                </c:pt>
                <c:pt idx="138">
                  <c:v>0.71697619088455278</c:v>
                </c:pt>
                <c:pt idx="139">
                  <c:v>0.72086801183360838</c:v>
                </c:pt>
                <c:pt idx="140">
                  <c:v>0.7247543715299084</c:v>
                </c:pt>
                <c:pt idx="141">
                  <c:v>0.72863526314485161</c:v>
                </c:pt>
                <c:pt idx="142">
                  <c:v>0.73251067988455565</c:v>
                </c:pt>
                <c:pt idx="143">
                  <c:v>0.73638061499834351</c:v>
                </c:pt>
                <c:pt idx="144">
                  <c:v>0.74024506178676197</c:v>
                </c:pt>
                <c:pt idx="145">
                  <c:v>0.74410401360914069</c:v>
                </c:pt>
                <c:pt idx="146">
                  <c:v>0.7479574638907257</c:v>
                </c:pt>
                <c:pt idx="147">
                  <c:v>0.75180540612940117</c:v>
                </c:pt>
                <c:pt idx="148">
                  <c:v>0.75564783390200418</c:v>
                </c:pt>
                <c:pt idx="149">
                  <c:v>0.75948474087027662</c:v>
                </c:pt>
                <c:pt idx="150">
                  <c:v>0.76331612078644395</c:v>
                </c:pt>
                <c:pt idx="151">
                  <c:v>0.76714196749844887</c:v>
                </c:pt>
                <c:pt idx="152">
                  <c:v>0.77096227495486214</c:v>
                </c:pt>
                <c:pt idx="153">
                  <c:v>0.77477703720946367</c:v>
                </c:pt>
                <c:pt idx="154">
                  <c:v>0.7785862484255347</c:v>
                </c:pt>
                <c:pt idx="155">
                  <c:v>0.78238990287984922</c:v>
                </c:pt>
                <c:pt idx="156">
                  <c:v>0.78618799496639724</c:v>
                </c:pt>
                <c:pt idx="157">
                  <c:v>0.78998051919983892</c:v>
                </c:pt>
                <c:pt idx="158">
                  <c:v>0.7937674702187113</c:v>
                </c:pt>
                <c:pt idx="159">
                  <c:v>0.79754884278838756</c:v>
                </c:pt>
                <c:pt idx="160">
                  <c:v>0.80132463180381297</c:v>
                </c:pt>
                <c:pt idx="161">
                  <c:v>0.80509483229201795</c:v>
                </c:pt>
                <c:pt idx="162">
                  <c:v>0.80885943941442195</c:v>
                </c:pt>
                <c:pt idx="163">
                  <c:v>0.81261844846893694</c:v>
                </c:pt>
                <c:pt idx="164">
                  <c:v>0.81637185489188213</c:v>
                </c:pt>
                <c:pt idx="165">
                  <c:v>0.82011965425971378</c:v>
                </c:pt>
                <c:pt idx="166">
                  <c:v>0.8238618422905879</c:v>
                </c:pt>
                <c:pt idx="167">
                  <c:v>0.82759841484574759</c:v>
                </c:pt>
                <c:pt idx="168">
                  <c:v>0.83132936793076206</c:v>
                </c:pt>
                <c:pt idx="169">
                  <c:v>0.835054697696613</c:v>
                </c:pt>
                <c:pt idx="170">
                  <c:v>0.83877440044063423</c:v>
                </c:pt>
                <c:pt idx="171">
                  <c:v>0.84248847260732096</c:v>
                </c:pt>
                <c:pt idx="172">
                  <c:v>0.84619691078900638</c:v>
                </c:pt>
                <c:pt idx="173">
                  <c:v>0.84989971172641643</c:v>
                </c:pt>
                <c:pt idx="174">
                  <c:v>0.85359687230910741</c:v>
                </c:pt>
                <c:pt idx="175">
                  <c:v>0.85728838957578979</c:v>
                </c:pt>
                <c:pt idx="176">
                  <c:v>0.86097426071455296</c:v>
                </c:pt>
                <c:pt idx="177">
                  <c:v>0.86465448306298165</c:v>
                </c:pt>
                <c:pt idx="178">
                  <c:v>0.86832905410818051</c:v>
                </c:pt>
                <c:pt idx="179">
                  <c:v>0.87199797148671121</c:v>
                </c:pt>
                <c:pt idx="180">
                  <c:v>0.87566123298443976</c:v>
                </c:pt>
                <c:pt idx="181">
                  <c:v>0.87931883653630294</c:v>
                </c:pt>
                <c:pt idx="182">
                  <c:v>0.88297078022600162</c:v>
                </c:pt>
                <c:pt idx="183">
                  <c:v>0.88661706228561299</c:v>
                </c:pt>
                <c:pt idx="184">
                  <c:v>0.8902576810951468</c:v>
                </c:pt>
                <c:pt idx="185">
                  <c:v>0.89389263518202089</c:v>
                </c:pt>
                <c:pt idx="186">
                  <c:v>0.8975219232204904</c:v>
                </c:pt>
                <c:pt idx="187">
                  <c:v>0.90114554403100855</c:v>
                </c:pt>
                <c:pt idx="188">
                  <c:v>0.90476349657953459</c:v>
                </c:pt>
                <c:pt idx="189">
                  <c:v>0.90837577997679264</c:v>
                </c:pt>
                <c:pt idx="190">
                  <c:v>0.91198239347748289</c:v>
                </c:pt>
                <c:pt idx="191">
                  <c:v>0.91558333647944046</c:v>
                </c:pt>
                <c:pt idx="192">
                  <c:v>0.9191786085227599</c:v>
                </c:pt>
                <c:pt idx="193">
                  <c:v>0.92276820928887393</c:v>
                </c:pt>
                <c:pt idx="194">
                  <c:v>0.92635213859959464</c:v>
                </c:pt>
                <c:pt idx="195">
                  <c:v>0.92993039641612196</c:v>
                </c:pt>
                <c:pt idx="196">
                  <c:v>0.93350298283801769</c:v>
                </c:pt>
                <c:pt idx="197">
                  <c:v>0.93706989810214758</c:v>
                </c:pt>
                <c:pt idx="198">
                  <c:v>0.94063114258159752</c:v>
                </c:pt>
                <c:pt idx="199">
                  <c:v>0.94418671678456156</c:v>
                </c:pt>
                <c:pt idx="200">
                  <c:v>0.94773662135320091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5-4812-A7B0-598EBCE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594936"/>
        <c:axId val="939595264"/>
      </c:scatterChart>
      <c:valAx>
        <c:axId val="93959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5264"/>
        <c:crosses val="autoZero"/>
        <c:crossBetween val="midCat"/>
      </c:valAx>
      <c:valAx>
        <c:axId val="9395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-2.9403963221596996E-4</c:v>
                </c:pt>
                <c:pt idx="1">
                  <c:v>1.5702671765781162E-4</c:v>
                </c:pt>
                <c:pt idx="2">
                  <c:v>-6.7706380952439291E-5</c:v>
                </c:pt>
                <c:pt idx="3">
                  <c:v>-1.534955270442612E-4</c:v>
                </c:pt>
                <c:pt idx="4">
                  <c:v>2.1337868707198125E-5</c:v>
                </c:pt>
                <c:pt idx="5">
                  <c:v>4.3920367197525109E-4</c:v>
                </c:pt>
                <c:pt idx="6">
                  <c:v>1.062083739240918E-3</c:v>
                </c:pt>
                <c:pt idx="7">
                  <c:v>1.8549241169443288E-3</c:v>
                </c:pt>
                <c:pt idx="8">
                  <c:v>2.7887669617412485E-3</c:v>
                </c:pt>
                <c:pt idx="9">
                  <c:v>3.8400357865634276E-3</c:v>
                </c:pt>
                <c:pt idx="10">
                  <c:v>4.9894029985100658E-3</c:v>
                </c:pt>
                <c:pt idx="11">
                  <c:v>6.2208544874421236E-3</c:v>
                </c:pt>
                <c:pt idx="12">
                  <c:v>7.5209912984814933E-3</c:v>
                </c:pt>
                <c:pt idx="13">
                  <c:v>8.8785143071989005E-3</c:v>
                </c:pt>
                <c:pt idx="14">
                  <c:v>1.0283838733809976E-2</c:v>
                </c:pt>
                <c:pt idx="15">
                  <c:v>1.1728799642726648E-2</c:v>
                </c:pt>
                <c:pt idx="16">
                  <c:v>1.3206421869180012E-2</c:v>
                </c:pt>
                <c:pt idx="17">
                  <c:v>1.4710736453338293E-2</c:v>
                </c:pt>
                <c:pt idx="18">
                  <c:v>1.6236631426525643E-2</c:v>
                </c:pt>
                <c:pt idx="19">
                  <c:v>1.7779728593107759E-2</c:v>
                </c:pt>
                <c:pt idx="20">
                  <c:v>1.9336280458738312E-2</c:v>
                </c:pt>
                <c:pt idx="21">
                  <c:v>2.0903083122654091E-2</c:v>
                </c:pt>
                <c:pt idx="22">
                  <c:v>2.2477402072784716E-2</c:v>
                </c:pt>
                <c:pt idx="23">
                  <c:v>2.405690858750513E-2</c:v>
                </c:pt>
                <c:pt idx="24">
                  <c:v>2.5639624979348359E-2</c:v>
                </c:pt>
                <c:pt idx="25">
                  <c:v>2.7223877292905152E-2</c:v>
                </c:pt>
                <c:pt idx="26">
                  <c:v>2.8808254342606442E-2</c:v>
                </c:pt>
                <c:pt idx="27">
                  <c:v>3.0391572179393044E-2</c:v>
                </c:pt>
                <c:pt idx="28">
                  <c:v>3.1972843230170842E-2</c:v>
                </c:pt>
                <c:pt idx="29">
                  <c:v>3.3551249474777854E-2</c:v>
                </c:pt>
                <c:pt idx="30">
                  <c:v>3.5126119121517412E-2</c:v>
                </c:pt>
                <c:pt idx="31">
                  <c:v>3.6696906320581715E-2</c:v>
                </c:pt>
                <c:pt idx="32">
                  <c:v>3.8263173519330583E-2</c:v>
                </c:pt>
                <c:pt idx="33">
                  <c:v>3.9824576117481518E-2</c:v>
                </c:pt>
                <c:pt idx="34">
                  <c:v>4.1380849126012337E-2</c:v>
                </c:pt>
                <c:pt idx="35">
                  <c:v>4.2931795572600254E-2</c:v>
                </c:pt>
                <c:pt idx="36">
                  <c:v>4.4477276429895574E-2</c:v>
                </c:pt>
                <c:pt idx="37">
                  <c:v>4.601720187180415E-2</c:v>
                </c:pt>
                <c:pt idx="38">
                  <c:v>4.7551523687948696E-2</c:v>
                </c:pt>
                <c:pt idx="39">
                  <c:v>4.908022870815755E-2</c:v>
                </c:pt>
                <c:pt idx="40">
                  <c:v>5.0603333107695658E-2</c:v>
                </c:pt>
                <c:pt idx="41">
                  <c:v>5.2120877480371676E-2</c:v>
                </c:pt>
                <c:pt idx="42">
                  <c:v>5.3632922580969432E-2</c:v>
                </c:pt>
                <c:pt idx="43">
                  <c:v>5.5139545650946226E-2</c:v>
                </c:pt>
                <c:pt idx="44">
                  <c:v>5.6640837252241484E-2</c:v>
                </c:pt>
                <c:pt idx="45">
                  <c:v>5.813689854356275E-2</c:v>
                </c:pt>
                <c:pt idx="46">
                  <c:v>5.9627838941827008E-2</c:v>
                </c:pt>
                <c:pt idx="47">
                  <c:v>6.1113774118713229E-2</c:v>
                </c:pt>
                <c:pt idx="48">
                  <c:v>6.2594824288620871E-2</c:v>
                </c:pt>
                <c:pt idx="49">
                  <c:v>6.4071112749885209E-2</c:v>
                </c:pt>
                <c:pt idx="50">
                  <c:v>6.554276464594648E-2</c:v>
                </c:pt>
                <c:pt idx="51">
                  <c:v>6.7009905917412446E-2</c:v>
                </c:pt>
                <c:pt idx="52">
                  <c:v>6.8472662419646238E-2</c:v>
                </c:pt>
                <c:pt idx="53">
                  <c:v>6.9931159183767092E-2</c:v>
                </c:pt>
                <c:pt idx="54">
                  <c:v>7.1385519801760763E-2</c:v>
                </c:pt>
                <c:pt idx="55">
                  <c:v>7.2835865918877821E-2</c:v>
                </c:pt>
                <c:pt idx="56">
                  <c:v>7.4282316818660765E-2</c:v>
                </c:pt>
                <c:pt idx="57">
                  <c:v>7.5724989087817274E-2</c:v>
                </c:pt>
                <c:pt idx="58">
                  <c:v>7.7163996349811984E-2</c:v>
                </c:pt>
                <c:pt idx="59">
                  <c:v>7.8599449057489765E-2</c:v>
                </c:pt>
                <c:pt idx="60">
                  <c:v>8.0031454336296257E-2</c:v>
                </c:pt>
                <c:pt idx="61">
                  <c:v>8.1460115870763114E-2</c:v>
                </c:pt>
                <c:pt idx="62">
                  <c:v>8.2885533827881774E-2</c:v>
                </c:pt>
                <c:pt idx="63">
                  <c:v>8.4307804811828854E-2</c:v>
                </c:pt>
                <c:pt idx="64">
                  <c:v>8.5727021845235687E-2</c:v>
                </c:pt>
                <c:pt idx="65">
                  <c:v>8.7143274372829427E-2</c:v>
                </c:pt>
                <c:pt idx="66">
                  <c:v>8.855664828383604E-2</c:v>
                </c:pt>
                <c:pt idx="67">
                  <c:v>8.996722595001326E-2</c:v>
                </c:pt>
                <c:pt idx="68">
                  <c:v>9.1375086276610368E-2</c:v>
                </c:pt>
                <c:pt idx="69">
                  <c:v>9.2780304763913968E-2</c:v>
                </c:pt>
                <c:pt idx="70">
                  <c:v>9.4182953577370651E-2</c:v>
                </c:pt>
                <c:pt idx="71">
                  <c:v>9.5583101624544933E-2</c:v>
                </c:pt>
                <c:pt idx="72">
                  <c:v>9.6980814637424029E-2</c:v>
                </c:pt>
                <c:pt idx="73">
                  <c:v>9.8376155258790732E-2</c:v>
                </c:pt>
                <c:pt idx="74">
                  <c:v>9.9769183131566921E-2</c:v>
                </c:pt>
                <c:pt idx="75">
                  <c:v>0.1011599549901947</c:v>
                </c:pt>
                <c:pt idx="76">
                  <c:v>0.10254852475326098</c:v>
                </c:pt>
                <c:pt idx="77">
                  <c:v>0.10393494361669159</c:v>
                </c:pt>
                <c:pt idx="78">
                  <c:v>0.10531926014694191</c:v>
                </c:pt>
                <c:pt idx="79">
                  <c:v>0.10670152037371534</c:v>
                </c:pt>
                <c:pt idx="80">
                  <c:v>0.10808176788180229</c:v>
                </c:pt>
                <c:pt idx="81">
                  <c:v>0.10946004390171109</c:v>
                </c:pt>
                <c:pt idx="82">
                  <c:v>0.11083638739882391</c:v>
                </c:pt>
                <c:pt idx="83">
                  <c:v>0.11221083516084991</c:v>
                </c:pt>
                <c:pt idx="84">
                  <c:v>0.11358342188340635</c:v>
                </c:pt>
                <c:pt idx="85">
                  <c:v>0.1149541802535797</c:v>
                </c:pt>
                <c:pt idx="86">
                  <c:v>0.11632314103136829</c:v>
                </c:pt>
                <c:pt idx="87">
                  <c:v>0.1176903331289228</c:v>
                </c:pt>
                <c:pt idx="88">
                  <c:v>0.11905578368753017</c:v>
                </c:pt>
                <c:pt idx="89">
                  <c:v>0.12041951815230431</c:v>
                </c:pt>
                <c:pt idx="90">
                  <c:v>0.12178156034456954</c:v>
                </c:pt>
                <c:pt idx="91">
                  <c:v>0.12314193253192758</c:v>
                </c:pt>
                <c:pt idx="92">
                  <c:v>0.12450065549602266</c:v>
                </c:pt>
                <c:pt idx="93">
                  <c:v>0.12585774859801657</c:v>
                </c:pt>
                <c:pt idx="94">
                  <c:v>0.12721322984180611</c:v>
                </c:pt>
                <c:pt idx="95">
                  <c:v>0.12856711593501718</c:v>
                </c:pt>
                <c:pt idx="96">
                  <c:v>0.1299194223478102</c:v>
                </c:pt>
                <c:pt idx="97">
                  <c:v>0.13127016336954705</c:v>
                </c:pt>
                <c:pt idx="98">
                  <c:v>0.13261935216336335</c:v>
                </c:pt>
                <c:pt idx="99">
                  <c:v>0.13396700081870025</c:v>
                </c:pt>
                <c:pt idx="100">
                  <c:v>0.13531312040184715</c:v>
                </c:pt>
                <c:pt idx="101">
                  <c:v>0.13665772100454718</c:v>
                </c:pt>
                <c:pt idx="102">
                  <c:v>0.13800081179072723</c:v>
                </c:pt>
                <c:pt idx="103">
                  <c:v>0.13934240104140161</c:v>
                </c:pt>
                <c:pt idx="104">
                  <c:v>0.14068249619781148</c:v>
                </c:pt>
                <c:pt idx="105">
                  <c:v>0.14202110390285128</c:v>
                </c:pt>
                <c:pt idx="106">
                  <c:v>0.14335823004084114</c:v>
                </c:pt>
                <c:pt idx="107">
                  <c:v>0.1446938797757</c:v>
                </c:pt>
                <c:pt idx="108">
                  <c:v>0.14602805758757167</c:v>
                </c:pt>
                <c:pt idx="109">
                  <c:v>0.14736076730795947</c:v>
                </c:pt>
                <c:pt idx="110">
                  <c:v>0.1486920121534219</c:v>
                </c:pt>
                <c:pt idx="111">
                  <c:v>0.15002179475787927</c:v>
                </c:pt>
                <c:pt idx="112">
                  <c:v>0.15135011720358224</c:v>
                </c:pt>
                <c:pt idx="113">
                  <c:v>0.15267698105079036</c:v>
                </c:pt>
                <c:pt idx="114">
                  <c:v>0.15400238736621025</c:v>
                </c:pt>
                <c:pt idx="115">
                  <c:v>0.15532633675023585</c:v>
                </c:pt>
                <c:pt idx="116">
                  <c:v>0.15664882936304017</c:v>
                </c:pt>
                <c:pt idx="117">
                  <c:v>0.15796986494955903</c:v>
                </c:pt>
                <c:pt idx="118">
                  <c:v>0.15928944286340679</c:v>
                </c:pt>
                <c:pt idx="119">
                  <c:v>0.1606075620897737</c:v>
                </c:pt>
                <c:pt idx="120">
                  <c:v>0.16192422126733194</c:v>
                </c:pt>
                <c:pt idx="121">
                  <c:v>0.16323941870919939</c:v>
                </c:pt>
                <c:pt idx="122">
                  <c:v>0.16455315242299129</c:v>
                </c:pt>
                <c:pt idx="123">
                  <c:v>0.16586542012999805</c:v>
                </c:pt>
                <c:pt idx="124">
                  <c:v>0.16717621928352464</c:v>
                </c:pt>
                <c:pt idx="125">
                  <c:v>0.16848554708641977</c:v>
                </c:pt>
                <c:pt idx="126">
                  <c:v>0.16979340050783465</c:v>
                </c:pt>
                <c:pt idx="127">
                  <c:v>0.1710997762992329</c:v>
                </c:pt>
                <c:pt idx="128">
                  <c:v>0.17240467100969037</c:v>
                </c:pt>
                <c:pt idx="129">
                  <c:v>0.17370808100050503</c:v>
                </c:pt>
                <c:pt idx="130">
                  <c:v>0.17501000245915246</c:v>
                </c:pt>
                <c:pt idx="131">
                  <c:v>0.17631043141260594</c:v>
                </c:pt>
                <c:pt idx="132">
                  <c:v>0.1776093637400529</c:v>
                </c:pt>
                <c:pt idx="133">
                  <c:v>0.17890679518502667</c:v>
                </c:pt>
                <c:pt idx="134">
                  <c:v>0.18020272136698259</c:v>
                </c:pt>
                <c:pt idx="135">
                  <c:v>0.18149713779233687</c:v>
                </c:pt>
                <c:pt idx="136">
                  <c:v>0.18279003986499176</c:v>
                </c:pt>
                <c:pt idx="137">
                  <c:v>0.18408142289636847</c:v>
                </c:pt>
                <c:pt idx="138">
                  <c:v>0.18537128211496637</c:v>
                </c:pt>
                <c:pt idx="139">
                  <c:v>0.1866596126754704</c:v>
                </c:pt>
                <c:pt idx="140">
                  <c:v>0.18794640966742221</c:v>
                </c:pt>
                <c:pt idx="141">
                  <c:v>0.18923166812347481</c:v>
                </c:pt>
                <c:pt idx="142">
                  <c:v>0.19051538302724982</c:v>
                </c:pt>
                <c:pt idx="143">
                  <c:v>0.1917975493208072</c:v>
                </c:pt>
                <c:pt idx="144">
                  <c:v>0.19307816191175309</c:v>
                </c:pt>
                <c:pt idx="145">
                  <c:v>0.19435721567999084</c:v>
                </c:pt>
                <c:pt idx="146">
                  <c:v>0.19563470548413814</c:v>
                </c:pt>
                <c:pt idx="147">
                  <c:v>0.19691062616762101</c:v>
                </c:pt>
                <c:pt idx="148">
                  <c:v>0.19818497256445444</c:v>
                </c:pt>
                <c:pt idx="149">
                  <c:v>0.19945773950473134</c:v>
                </c:pt>
                <c:pt idx="150">
                  <c:v>0.20072892181982296</c:v>
                </c:pt>
                <c:pt idx="151">
                  <c:v>0.20199851434731014</c:v>
                </c:pt>
                <c:pt idx="152">
                  <c:v>0.20326651193565276</c:v>
                </c:pt>
                <c:pt idx="153">
                  <c:v>0.20453290944860858</c:v>
                </c:pt>
                <c:pt idx="154">
                  <c:v>0.20579770176941464</c:v>
                </c:pt>
                <c:pt idx="155">
                  <c:v>0.20706088380473792</c:v>
                </c:pt>
                <c:pt idx="156">
                  <c:v>0.20832245048840897</c:v>
                </c:pt>
                <c:pt idx="157">
                  <c:v>0.20958239678494464</c:v>
                </c:pt>
                <c:pt idx="158">
                  <c:v>0.21084071769286819</c:v>
                </c:pt>
                <c:pt idx="159">
                  <c:v>0.21209740824784254</c:v>
                </c:pt>
                <c:pt idx="160">
                  <c:v>0.21335246352561266</c:v>
                </c:pt>
                <c:pt idx="161">
                  <c:v>0.2146058786447787</c:v>
                </c:pt>
                <c:pt idx="162">
                  <c:v>0.21585764876939589</c:v>
                </c:pt>
                <c:pt idx="163">
                  <c:v>0.2171077691114168</c:v>
                </c:pt>
                <c:pt idx="164">
                  <c:v>0.21835623493297823</c:v>
                </c:pt>
                <c:pt idx="165">
                  <c:v>0.21960304154854143</c:v>
                </c:pt>
                <c:pt idx="166">
                  <c:v>0.22084818432689107</c:v>
                </c:pt>
                <c:pt idx="167">
                  <c:v>0.22209165869300065</c:v>
                </c:pt>
                <c:pt idx="168">
                  <c:v>0.22333346012976951</c:v>
                </c:pt>
                <c:pt idx="169">
                  <c:v>0.22457358417963647</c:v>
                </c:pt>
                <c:pt idx="170">
                  <c:v>0.22581202644607537</c:v>
                </c:pt>
                <c:pt idx="171">
                  <c:v>0.22704878259498212</c:v>
                </c:pt>
                <c:pt idx="172">
                  <c:v>0.22828384835595061</c:v>
                </c:pt>
                <c:pt idx="173">
                  <c:v>0.22951721952344875</c:v>
                </c:pt>
                <c:pt idx="174">
                  <c:v>0.23074889195789766</c:v>
                </c:pt>
                <c:pt idx="175">
                  <c:v>0.23197886158665565</c:v>
                </c:pt>
                <c:pt idx="176">
                  <c:v>0.233207124404917</c:v>
                </c:pt>
                <c:pt idx="177">
                  <c:v>0.23443367647652111</c:v>
                </c:pt>
                <c:pt idx="178">
                  <c:v>0.23565851393468701</c:v>
                </c:pt>
                <c:pt idx="179">
                  <c:v>0.23688163298266524</c:v>
                </c:pt>
                <c:pt idx="180">
                  <c:v>0.23810302989432169</c:v>
                </c:pt>
                <c:pt idx="181">
                  <c:v>0.23932270101464673</c:v>
                </c:pt>
                <c:pt idx="182">
                  <c:v>0.24054064276020198</c:v>
                </c:pt>
                <c:pt idx="183">
                  <c:v>0.241756851619501</c:v>
                </c:pt>
                <c:pt idx="184">
                  <c:v>0.24297132415333192</c:v>
                </c:pt>
                <c:pt idx="185">
                  <c:v>0.24418405699501949</c:v>
                </c:pt>
                <c:pt idx="186">
                  <c:v>0.24539504685063826</c:v>
                </c:pt>
                <c:pt idx="187">
                  <c:v>0.24660429049916688</c:v>
                </c:pt>
                <c:pt idx="188">
                  <c:v>0.24781178479259913</c:v>
                </c:pt>
                <c:pt idx="189">
                  <c:v>0.24901752665600432</c:v>
                </c:pt>
                <c:pt idx="190">
                  <c:v>0.25022151308754625</c:v>
                </c:pt>
                <c:pt idx="191">
                  <c:v>0.25142374115845756</c:v>
                </c:pt>
                <c:pt idx="192">
                  <c:v>0.25262420801297508</c:v>
                </c:pt>
                <c:pt idx="193">
                  <c:v>0.25382291086823783</c:v>
                </c:pt>
                <c:pt idx="194">
                  <c:v>0.25501984701414854</c:v>
                </c:pt>
                <c:pt idx="195">
                  <c:v>0.25621501381320133</c:v>
                </c:pt>
                <c:pt idx="196">
                  <c:v>0.25740840870027626</c:v>
                </c:pt>
                <c:pt idx="197">
                  <c:v>0.25860002918240599</c:v>
                </c:pt>
                <c:pt idx="198">
                  <c:v>0.25978987283851124</c:v>
                </c:pt>
                <c:pt idx="199">
                  <c:v>0.26097793731910957</c:v>
                </c:pt>
                <c:pt idx="200">
                  <c:v>0.26216422034599962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A0-45A9-933E-269A94FB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869528"/>
        <c:axId val="908869856"/>
      </c:scatterChart>
      <c:valAx>
        <c:axId val="90886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856"/>
        <c:crosses val="autoZero"/>
        <c:crossBetween val="midCat"/>
      </c:valAx>
      <c:valAx>
        <c:axId val="9088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-2.9403963221596996E-4</c:v>
                </c:pt>
                <c:pt idx="1">
                  <c:v>1.5702671765781162E-4</c:v>
                </c:pt>
                <c:pt idx="2">
                  <c:v>-6.7706380952439291E-5</c:v>
                </c:pt>
                <c:pt idx="3">
                  <c:v>-1.534955270442612E-4</c:v>
                </c:pt>
                <c:pt idx="4">
                  <c:v>2.1337868707198125E-5</c:v>
                </c:pt>
                <c:pt idx="5">
                  <c:v>4.3920367197525109E-4</c:v>
                </c:pt>
                <c:pt idx="6">
                  <c:v>1.062083739240918E-3</c:v>
                </c:pt>
                <c:pt idx="7">
                  <c:v>1.8549241169443288E-3</c:v>
                </c:pt>
                <c:pt idx="8">
                  <c:v>2.7887669617412485E-3</c:v>
                </c:pt>
                <c:pt idx="9">
                  <c:v>3.8400357865634276E-3</c:v>
                </c:pt>
                <c:pt idx="10">
                  <c:v>4.9894029985100658E-3</c:v>
                </c:pt>
                <c:pt idx="11">
                  <c:v>6.2208544874421236E-3</c:v>
                </c:pt>
                <c:pt idx="12">
                  <c:v>7.5209912984814933E-3</c:v>
                </c:pt>
                <c:pt idx="13">
                  <c:v>8.8785143071989005E-3</c:v>
                </c:pt>
                <c:pt idx="14">
                  <c:v>1.0283838733809976E-2</c:v>
                </c:pt>
                <c:pt idx="15">
                  <c:v>1.1728799642726648E-2</c:v>
                </c:pt>
                <c:pt idx="16">
                  <c:v>1.3206421869180012E-2</c:v>
                </c:pt>
                <c:pt idx="17">
                  <c:v>1.4710736453338293E-2</c:v>
                </c:pt>
                <c:pt idx="18">
                  <c:v>1.6236631426525643E-2</c:v>
                </c:pt>
                <c:pt idx="19">
                  <c:v>1.7779728593107759E-2</c:v>
                </c:pt>
                <c:pt idx="20">
                  <c:v>1.9336280458738312E-2</c:v>
                </c:pt>
                <c:pt idx="21">
                  <c:v>2.0903083122654091E-2</c:v>
                </c:pt>
                <c:pt idx="22">
                  <c:v>2.2477402072784716E-2</c:v>
                </c:pt>
                <c:pt idx="23">
                  <c:v>2.405690858750513E-2</c:v>
                </c:pt>
                <c:pt idx="24">
                  <c:v>2.5639624979348359E-2</c:v>
                </c:pt>
                <c:pt idx="25">
                  <c:v>2.7223877292905152E-2</c:v>
                </c:pt>
                <c:pt idx="26">
                  <c:v>2.8808254342606442E-2</c:v>
                </c:pt>
                <c:pt idx="27">
                  <c:v>3.0391572179393044E-2</c:v>
                </c:pt>
                <c:pt idx="28">
                  <c:v>3.1972843230170842E-2</c:v>
                </c:pt>
                <c:pt idx="29">
                  <c:v>3.3551249474777854E-2</c:v>
                </c:pt>
                <c:pt idx="30">
                  <c:v>3.5126119121517412E-2</c:v>
                </c:pt>
                <c:pt idx="31">
                  <c:v>3.6696906320581715E-2</c:v>
                </c:pt>
                <c:pt idx="32">
                  <c:v>3.8263173519330583E-2</c:v>
                </c:pt>
                <c:pt idx="33">
                  <c:v>3.9824576117481518E-2</c:v>
                </c:pt>
                <c:pt idx="34">
                  <c:v>4.1380849126012337E-2</c:v>
                </c:pt>
                <c:pt idx="35">
                  <c:v>4.2931795572600254E-2</c:v>
                </c:pt>
                <c:pt idx="36">
                  <c:v>4.4477276429895574E-2</c:v>
                </c:pt>
                <c:pt idx="37">
                  <c:v>4.601720187180415E-2</c:v>
                </c:pt>
                <c:pt idx="38">
                  <c:v>4.7551523687948696E-2</c:v>
                </c:pt>
                <c:pt idx="39">
                  <c:v>4.908022870815755E-2</c:v>
                </c:pt>
                <c:pt idx="40">
                  <c:v>5.0603333107695658E-2</c:v>
                </c:pt>
                <c:pt idx="41">
                  <c:v>5.2120877480371676E-2</c:v>
                </c:pt>
                <c:pt idx="42">
                  <c:v>5.3632922580969432E-2</c:v>
                </c:pt>
                <c:pt idx="43">
                  <c:v>5.5139545650946226E-2</c:v>
                </c:pt>
                <c:pt idx="44">
                  <c:v>5.6640837252241484E-2</c:v>
                </c:pt>
                <c:pt idx="45">
                  <c:v>5.813689854356275E-2</c:v>
                </c:pt>
                <c:pt idx="46">
                  <c:v>5.9627838941827008E-2</c:v>
                </c:pt>
                <c:pt idx="47">
                  <c:v>6.1113774118713229E-2</c:v>
                </c:pt>
                <c:pt idx="48">
                  <c:v>6.2594824288620871E-2</c:v>
                </c:pt>
                <c:pt idx="49">
                  <c:v>6.4071112749885209E-2</c:v>
                </c:pt>
                <c:pt idx="50">
                  <c:v>6.554276464594648E-2</c:v>
                </c:pt>
                <c:pt idx="51">
                  <c:v>6.7009905917412446E-2</c:v>
                </c:pt>
                <c:pt idx="52">
                  <c:v>6.8472662419646238E-2</c:v>
                </c:pt>
                <c:pt idx="53">
                  <c:v>6.9931159183767092E-2</c:v>
                </c:pt>
                <c:pt idx="54">
                  <c:v>7.1385519801760763E-2</c:v>
                </c:pt>
                <c:pt idx="55">
                  <c:v>7.2835865918877821E-2</c:v>
                </c:pt>
                <c:pt idx="56">
                  <c:v>7.4282316818660765E-2</c:v>
                </c:pt>
                <c:pt idx="57">
                  <c:v>7.5724989087817274E-2</c:v>
                </c:pt>
                <c:pt idx="58">
                  <c:v>7.7163996349811984E-2</c:v>
                </c:pt>
                <c:pt idx="59">
                  <c:v>7.8599449057489765E-2</c:v>
                </c:pt>
                <c:pt idx="60">
                  <c:v>8.0031454336296257E-2</c:v>
                </c:pt>
                <c:pt idx="61">
                  <c:v>8.1460115870763114E-2</c:v>
                </c:pt>
                <c:pt idx="62">
                  <c:v>8.2885533827881774E-2</c:v>
                </c:pt>
                <c:pt idx="63">
                  <c:v>8.4307804811828854E-2</c:v>
                </c:pt>
                <c:pt idx="64">
                  <c:v>8.5727021845235687E-2</c:v>
                </c:pt>
                <c:pt idx="65">
                  <c:v>8.7143274372829427E-2</c:v>
                </c:pt>
                <c:pt idx="66">
                  <c:v>8.855664828383604E-2</c:v>
                </c:pt>
                <c:pt idx="67">
                  <c:v>8.996722595001326E-2</c:v>
                </c:pt>
                <c:pt idx="68">
                  <c:v>9.1375086276610368E-2</c:v>
                </c:pt>
                <c:pt idx="69">
                  <c:v>9.2780304763913968E-2</c:v>
                </c:pt>
                <c:pt idx="70">
                  <c:v>9.4182953577370651E-2</c:v>
                </c:pt>
                <c:pt idx="71">
                  <c:v>9.5583101624544933E-2</c:v>
                </c:pt>
                <c:pt idx="72">
                  <c:v>9.6980814637424029E-2</c:v>
                </c:pt>
                <c:pt idx="73">
                  <c:v>9.8376155258790732E-2</c:v>
                </c:pt>
                <c:pt idx="74">
                  <c:v>9.9769183131566921E-2</c:v>
                </c:pt>
                <c:pt idx="75">
                  <c:v>0.1011599549901947</c:v>
                </c:pt>
                <c:pt idx="76">
                  <c:v>0.10254852475326098</c:v>
                </c:pt>
                <c:pt idx="77">
                  <c:v>0.10393494361669159</c:v>
                </c:pt>
                <c:pt idx="78">
                  <c:v>0.10531926014694191</c:v>
                </c:pt>
                <c:pt idx="79">
                  <c:v>0.10670152037371534</c:v>
                </c:pt>
                <c:pt idx="80">
                  <c:v>0.10808176788180229</c:v>
                </c:pt>
                <c:pt idx="81">
                  <c:v>0.10946004390171109</c:v>
                </c:pt>
                <c:pt idx="82">
                  <c:v>0.11083638739882391</c:v>
                </c:pt>
                <c:pt idx="83">
                  <c:v>0.11221083516084991</c:v>
                </c:pt>
                <c:pt idx="84">
                  <c:v>0.11358342188340635</c:v>
                </c:pt>
                <c:pt idx="85">
                  <c:v>0.1149541802535797</c:v>
                </c:pt>
                <c:pt idx="86">
                  <c:v>0.11632314103136829</c:v>
                </c:pt>
                <c:pt idx="87">
                  <c:v>0.1176903331289228</c:v>
                </c:pt>
                <c:pt idx="88">
                  <c:v>0.11905578368753017</c:v>
                </c:pt>
                <c:pt idx="89">
                  <c:v>0.12041951815230431</c:v>
                </c:pt>
                <c:pt idx="90">
                  <c:v>0.12178156034456954</c:v>
                </c:pt>
                <c:pt idx="91">
                  <c:v>0.12314193253192758</c:v>
                </c:pt>
                <c:pt idx="92">
                  <c:v>0.12450065549602266</c:v>
                </c:pt>
                <c:pt idx="93">
                  <c:v>0.12585774859801657</c:v>
                </c:pt>
                <c:pt idx="94">
                  <c:v>0.12721322984180611</c:v>
                </c:pt>
                <c:pt idx="95">
                  <c:v>0.12856711593501718</c:v>
                </c:pt>
                <c:pt idx="96">
                  <c:v>0.1299194223478102</c:v>
                </c:pt>
                <c:pt idx="97">
                  <c:v>0.13127016336954705</c:v>
                </c:pt>
                <c:pt idx="98">
                  <c:v>0.13261935216336335</c:v>
                </c:pt>
                <c:pt idx="99">
                  <c:v>0.13396700081870025</c:v>
                </c:pt>
                <c:pt idx="100">
                  <c:v>0.13531312040184715</c:v>
                </c:pt>
                <c:pt idx="101">
                  <c:v>0.13665772100454718</c:v>
                </c:pt>
                <c:pt idx="102">
                  <c:v>0.13800081179072723</c:v>
                </c:pt>
                <c:pt idx="103">
                  <c:v>0.13934240104140161</c:v>
                </c:pt>
                <c:pt idx="104">
                  <c:v>0.14068249619781148</c:v>
                </c:pt>
                <c:pt idx="105">
                  <c:v>0.14202110390285128</c:v>
                </c:pt>
                <c:pt idx="106">
                  <c:v>0.14335823004084114</c:v>
                </c:pt>
                <c:pt idx="107">
                  <c:v>0.1446938797757</c:v>
                </c:pt>
                <c:pt idx="108">
                  <c:v>0.14602805758757167</c:v>
                </c:pt>
                <c:pt idx="109">
                  <c:v>0.14736076730795947</c:v>
                </c:pt>
                <c:pt idx="110">
                  <c:v>0.1486920121534219</c:v>
                </c:pt>
                <c:pt idx="111">
                  <c:v>0.15002179475787927</c:v>
                </c:pt>
                <c:pt idx="112">
                  <c:v>0.15135011720358224</c:v>
                </c:pt>
                <c:pt idx="113">
                  <c:v>0.15267698105079036</c:v>
                </c:pt>
                <c:pt idx="114">
                  <c:v>0.15400238736621025</c:v>
                </c:pt>
                <c:pt idx="115">
                  <c:v>0.15532633675023585</c:v>
                </c:pt>
                <c:pt idx="116">
                  <c:v>0.15664882936304017</c:v>
                </c:pt>
                <c:pt idx="117">
                  <c:v>0.15796986494955903</c:v>
                </c:pt>
                <c:pt idx="118">
                  <c:v>0.15928944286340679</c:v>
                </c:pt>
                <c:pt idx="119">
                  <c:v>0.1606075620897737</c:v>
                </c:pt>
                <c:pt idx="120">
                  <c:v>0.16192422126733194</c:v>
                </c:pt>
                <c:pt idx="121">
                  <c:v>0.16323941870919939</c:v>
                </c:pt>
                <c:pt idx="122">
                  <c:v>0.16455315242299129</c:v>
                </c:pt>
                <c:pt idx="123">
                  <c:v>0.16586542012999805</c:v>
                </c:pt>
                <c:pt idx="124">
                  <c:v>0.16717621928352464</c:v>
                </c:pt>
                <c:pt idx="125">
                  <c:v>0.16848554708641977</c:v>
                </c:pt>
                <c:pt idx="126">
                  <c:v>0.16979340050783465</c:v>
                </c:pt>
                <c:pt idx="127">
                  <c:v>0.1710997762992329</c:v>
                </c:pt>
                <c:pt idx="128">
                  <c:v>0.17240467100969037</c:v>
                </c:pt>
                <c:pt idx="129">
                  <c:v>0.17370808100050503</c:v>
                </c:pt>
                <c:pt idx="130">
                  <c:v>0.17501000245915246</c:v>
                </c:pt>
                <c:pt idx="131">
                  <c:v>0.17631043141260594</c:v>
                </c:pt>
                <c:pt idx="132">
                  <c:v>0.1776093637400529</c:v>
                </c:pt>
                <c:pt idx="133">
                  <c:v>0.17890679518502667</c:v>
                </c:pt>
                <c:pt idx="134">
                  <c:v>0.18020272136698259</c:v>
                </c:pt>
                <c:pt idx="135">
                  <c:v>0.18149713779233687</c:v>
                </c:pt>
                <c:pt idx="136">
                  <c:v>0.18279003986499176</c:v>
                </c:pt>
                <c:pt idx="137">
                  <c:v>0.18408142289636847</c:v>
                </c:pt>
                <c:pt idx="138">
                  <c:v>0.18537128211496637</c:v>
                </c:pt>
                <c:pt idx="139">
                  <c:v>0.1866596126754704</c:v>
                </c:pt>
                <c:pt idx="140">
                  <c:v>0.18794640966742221</c:v>
                </c:pt>
                <c:pt idx="141">
                  <c:v>0.18923166812347481</c:v>
                </c:pt>
                <c:pt idx="142">
                  <c:v>0.19051538302724982</c:v>
                </c:pt>
                <c:pt idx="143">
                  <c:v>0.1917975493208072</c:v>
                </c:pt>
                <c:pt idx="144">
                  <c:v>0.19307816191175309</c:v>
                </c:pt>
                <c:pt idx="145">
                  <c:v>0.19435721567999084</c:v>
                </c:pt>
                <c:pt idx="146">
                  <c:v>0.19563470548413814</c:v>
                </c:pt>
                <c:pt idx="147">
                  <c:v>0.19691062616762101</c:v>
                </c:pt>
                <c:pt idx="148">
                  <c:v>0.19818497256445444</c:v>
                </c:pt>
                <c:pt idx="149">
                  <c:v>0.19945773950473134</c:v>
                </c:pt>
                <c:pt idx="150">
                  <c:v>0.20072892181982296</c:v>
                </c:pt>
                <c:pt idx="151">
                  <c:v>0.20199851434731014</c:v>
                </c:pt>
                <c:pt idx="152">
                  <c:v>0.20326651193565276</c:v>
                </c:pt>
                <c:pt idx="153">
                  <c:v>0.20453290944860858</c:v>
                </c:pt>
                <c:pt idx="154">
                  <c:v>0.20579770176941464</c:v>
                </c:pt>
                <c:pt idx="155">
                  <c:v>0.20706088380473792</c:v>
                </c:pt>
                <c:pt idx="156">
                  <c:v>0.20832245048840897</c:v>
                </c:pt>
                <c:pt idx="157">
                  <c:v>0.20958239678494464</c:v>
                </c:pt>
                <c:pt idx="158">
                  <c:v>0.21084071769286819</c:v>
                </c:pt>
                <c:pt idx="159">
                  <c:v>0.21209740824784254</c:v>
                </c:pt>
                <c:pt idx="160">
                  <c:v>0.21335246352561266</c:v>
                </c:pt>
                <c:pt idx="161">
                  <c:v>0.2146058786447787</c:v>
                </c:pt>
                <c:pt idx="162">
                  <c:v>0.21585764876939589</c:v>
                </c:pt>
                <c:pt idx="163">
                  <c:v>0.2171077691114168</c:v>
                </c:pt>
                <c:pt idx="164">
                  <c:v>0.21835623493297823</c:v>
                </c:pt>
                <c:pt idx="165">
                  <c:v>0.21960304154854143</c:v>
                </c:pt>
                <c:pt idx="166">
                  <c:v>0.22084818432689107</c:v>
                </c:pt>
                <c:pt idx="167">
                  <c:v>0.22209165869300065</c:v>
                </c:pt>
                <c:pt idx="168">
                  <c:v>0.22333346012976951</c:v>
                </c:pt>
                <c:pt idx="169">
                  <c:v>0.22457358417963647</c:v>
                </c:pt>
                <c:pt idx="170">
                  <c:v>0.22581202644607537</c:v>
                </c:pt>
                <c:pt idx="171">
                  <c:v>0.22704878259498212</c:v>
                </c:pt>
                <c:pt idx="172">
                  <c:v>0.22828384835595061</c:v>
                </c:pt>
                <c:pt idx="173">
                  <c:v>0.22951721952344875</c:v>
                </c:pt>
                <c:pt idx="174">
                  <c:v>0.23074889195789766</c:v>
                </c:pt>
                <c:pt idx="175">
                  <c:v>0.23197886158665565</c:v>
                </c:pt>
                <c:pt idx="176">
                  <c:v>0.233207124404917</c:v>
                </c:pt>
                <c:pt idx="177">
                  <c:v>0.23443367647652111</c:v>
                </c:pt>
                <c:pt idx="178">
                  <c:v>0.23565851393468701</c:v>
                </c:pt>
                <c:pt idx="179">
                  <c:v>0.23688163298266524</c:v>
                </c:pt>
                <c:pt idx="180">
                  <c:v>0.23810302989432169</c:v>
                </c:pt>
                <c:pt idx="181">
                  <c:v>0.23932270101464673</c:v>
                </c:pt>
                <c:pt idx="182">
                  <c:v>0.24054064276020198</c:v>
                </c:pt>
                <c:pt idx="183">
                  <c:v>0.241756851619501</c:v>
                </c:pt>
                <c:pt idx="184">
                  <c:v>0.24297132415333192</c:v>
                </c:pt>
                <c:pt idx="185">
                  <c:v>0.24418405699501949</c:v>
                </c:pt>
                <c:pt idx="186">
                  <c:v>0.24539504685063826</c:v>
                </c:pt>
                <c:pt idx="187">
                  <c:v>0.24660429049916688</c:v>
                </c:pt>
                <c:pt idx="188">
                  <c:v>0.24781178479259913</c:v>
                </c:pt>
                <c:pt idx="189">
                  <c:v>0.24901752665600432</c:v>
                </c:pt>
                <c:pt idx="190">
                  <c:v>0.25022151308754625</c:v>
                </c:pt>
                <c:pt idx="191">
                  <c:v>0.25142374115845756</c:v>
                </c:pt>
                <c:pt idx="192">
                  <c:v>0.25262420801297508</c:v>
                </c:pt>
                <c:pt idx="193">
                  <c:v>0.25382291086823783</c:v>
                </c:pt>
                <c:pt idx="194">
                  <c:v>0.25501984701414854</c:v>
                </c:pt>
                <c:pt idx="195">
                  <c:v>0.25621501381320133</c:v>
                </c:pt>
                <c:pt idx="196">
                  <c:v>0.25740840870027626</c:v>
                </c:pt>
                <c:pt idx="197">
                  <c:v>0.25860002918240599</c:v>
                </c:pt>
                <c:pt idx="198">
                  <c:v>0.25978987283851124</c:v>
                </c:pt>
                <c:pt idx="199">
                  <c:v>0.26097793731910957</c:v>
                </c:pt>
                <c:pt idx="200">
                  <c:v>0.26216422034599962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ser>
          <c:idx val="1"/>
          <c:order val="1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1.1066437402446283E-2</c:v>
                </c:pt>
                <c:pt idx="1">
                  <c:v>9.1359002229936065E-2</c:v>
                </c:pt>
                <c:pt idx="2">
                  <c:v>0.11751773858100281</c:v>
                </c:pt>
                <c:pt idx="3">
                  <c:v>0.12974510910685691</c:v>
                </c:pt>
                <c:pt idx="4">
                  <c:v>0.13771746330628284</c:v>
                </c:pt>
                <c:pt idx="5">
                  <c:v>0.14403912209902051</c:v>
                </c:pt>
                <c:pt idx="6">
                  <c:v>0.14957064349154497</c:v>
                </c:pt>
                <c:pt idx="7">
                  <c:v>0.154678270091679</c:v>
                </c:pt>
                <c:pt idx="8">
                  <c:v>0.15955130896184885</c:v>
                </c:pt>
                <c:pt idx="9">
                  <c:v>0.16429752339156539</c:v>
                </c:pt>
                <c:pt idx="10">
                  <c:v>0.16898004974684327</c:v>
                </c:pt>
                <c:pt idx="11">
                  <c:v>0.17363556311554168</c:v>
                </c:pt>
                <c:pt idx="12">
                  <c:v>0.17828462307251272</c:v>
                </c:pt>
                <c:pt idx="13">
                  <c:v>0.18293795848352257</c:v>
                </c:pt>
                <c:pt idx="14">
                  <c:v>0.18760037227384563</c:v>
                </c:pt>
                <c:pt idx="15">
                  <c:v>0.19227317846610695</c:v>
                </c:pt>
                <c:pt idx="16">
                  <c:v>0.19695571759484801</c:v>
                </c:pt>
                <c:pt idx="17">
                  <c:v>0.20164629061717038</c:v>
                </c:pt>
                <c:pt idx="18">
                  <c:v>0.20634272616409416</c:v>
                </c:pt>
                <c:pt idx="19">
                  <c:v>0.21104271742414504</c:v>
                </c:pt>
                <c:pt idx="20">
                  <c:v>0.21574401515402619</c:v>
                </c:pt>
                <c:pt idx="21">
                  <c:v>0.22044453163323041</c:v>
                </c:pt>
                <c:pt idx="22">
                  <c:v>0.22514239021303933</c:v>
                </c:pt>
                <c:pt idx="23">
                  <c:v>0.22983594227826493</c:v>
                </c:pt>
                <c:pt idx="24">
                  <c:v>0.23452376528401847</c:v>
                </c:pt>
                <c:pt idx="25">
                  <c:v>0.23920465035499747</c:v>
                </c:pt>
                <c:pt idx="26">
                  <c:v>0.2438775846595824</c:v>
                </c:pt>
                <c:pt idx="27">
                  <c:v>0.24854173170542668</c:v>
                </c:pt>
                <c:pt idx="28">
                  <c:v>0.25319641140681065</c:v>
                </c:pt>
                <c:pt idx="29">
                  <c:v>0.25784108096612501</c:v>
                </c:pt>
                <c:pt idx="30">
                  <c:v>0.26247531711330852</c:v>
                </c:pt>
                <c:pt idx="31">
                  <c:v>0.26709879994406205</c:v>
                </c:pt>
                <c:pt idx="32">
                  <c:v>0.27171129841750807</c:v>
                </c:pt>
                <c:pt idx="33">
                  <c:v>0.27631265747062872</c:v>
                </c:pt>
                <c:pt idx="34">
                  <c:v>0.28090278665112106</c:v>
                </c:pt>
                <c:pt idx="35">
                  <c:v>0.2854816501436398</c:v>
                </c:pt>
                <c:pt idx="36">
                  <c:v>0.29004925805529264</c:v>
                </c:pt>
                <c:pt idx="37">
                  <c:v>0.29460565882719575</c:v>
                </c:pt>
                <c:pt idx="38">
                  <c:v>0.29915093264561388</c:v>
                </c:pt>
                <c:pt idx="39">
                  <c:v>0.30368518573562758</c:v>
                </c:pt>
                <c:pt idx="40">
                  <c:v>0.30820854543095799</c:v>
                </c:pt>
                <c:pt idx="41">
                  <c:v>0.31272115592437627</c:v>
                </c:pt>
                <c:pt idx="42">
                  <c:v>0.31722317461350197</c:v>
                </c:pt>
                <c:pt idx="43">
                  <c:v>0.32171476896656004</c:v>
                </c:pt>
                <c:pt idx="44">
                  <c:v>0.32619611384147351</c:v>
                </c:pt>
                <c:pt idx="45">
                  <c:v>0.33066738919974831</c:v>
                </c:pt>
                <c:pt idx="46">
                  <c:v>0.33512877816372022</c:v>
                </c:pt>
                <c:pt idx="47">
                  <c:v>0.33958046537211645</c:v>
                </c:pt>
                <c:pt idx="48">
                  <c:v>0.3440226355945048</c:v>
                </c:pt>
                <c:pt idx="49">
                  <c:v>0.34845547257017279</c:v>
                </c:pt>
                <c:pt idx="50">
                  <c:v>0.35287915804131187</c:v>
                </c:pt>
                <c:pt idx="51">
                  <c:v>0.35729387095423937</c:v>
                </c:pt>
                <c:pt idx="52">
                  <c:v>0.3616997868057264</c:v>
                </c:pt>
                <c:pt idx="53">
                  <c:v>0.36609707711444117</c:v>
                </c:pt>
                <c:pt idx="54">
                  <c:v>0.37048590900008899</c:v>
                </c:pt>
                <c:pt idx="55">
                  <c:v>0.37486644485507858</c:v>
                </c:pt>
                <c:pt idx="56">
                  <c:v>0.3792388420955094</c:v>
                </c:pt>
                <c:pt idx="57">
                  <c:v>0.38360325298000014</c:v>
                </c:pt>
                <c:pt idx="58">
                  <c:v>0.38795982448635136</c:v>
                </c:pt>
                <c:pt idx="59">
                  <c:v>0.39230869823738901</c:v>
                </c:pt>
                <c:pt idx="60">
                  <c:v>0.3966500104684374</c:v>
                </c:pt>
                <c:pt idx="61">
                  <c:v>0.40098389202990148</c:v>
                </c:pt>
                <c:pt idx="62">
                  <c:v>0.40531046841928398</c:v>
                </c:pt>
                <c:pt idx="63">
                  <c:v>0.40962985983774097</c:v>
                </c:pt>
                <c:pt idx="64">
                  <c:v>0.41394218126693211</c:v>
                </c:pt>
                <c:pt idx="65">
                  <c:v>0.41824754256250696</c:v>
                </c:pt>
                <c:pt idx="66">
                  <c:v>0.42254604856106714</c:v>
                </c:pt>
                <c:pt idx="67">
                  <c:v>0.42683779919787979</c:v>
                </c:pt>
                <c:pt idx="68">
                  <c:v>0.43112288963301365</c:v>
                </c:pt>
                <c:pt idx="69">
                  <c:v>0.43540141038387986</c:v>
                </c:pt>
                <c:pt idx="70">
                  <c:v>0.43967344746247489</c:v>
                </c:pt>
                <c:pt idx="71">
                  <c:v>0.44393908251585074</c:v>
                </c:pt>
                <c:pt idx="72">
                  <c:v>0.44819839296856756</c:v>
                </c:pt>
                <c:pt idx="73">
                  <c:v>0.4524514521660794</c:v>
                </c:pt>
                <c:pt idx="74">
                  <c:v>0.45669832951814993</c:v>
                </c:pt>
                <c:pt idx="75">
                  <c:v>0.46093909064156152</c:v>
                </c:pt>
                <c:pt idx="76">
                  <c:v>0.46517379750147786</c:v>
                </c:pt>
                <c:pt idx="77">
                  <c:v>0.46940250855095933</c:v>
                </c:pt>
                <c:pt idx="78">
                  <c:v>0.47362527886818473</c:v>
                </c:pt>
                <c:pt idx="79">
                  <c:v>0.47784216029105309</c:v>
                </c:pt>
                <c:pt idx="80">
                  <c:v>0.48205320154886955</c:v>
                </c:pt>
                <c:pt idx="81">
                  <c:v>0.48625844839091381</c:v>
                </c:pt>
                <c:pt idx="82">
                  <c:v>0.49045794371170987</c:v>
                </c:pt>
                <c:pt idx="83">
                  <c:v>0.49465172767287513</c:v>
                </c:pt>
                <c:pt idx="84">
                  <c:v>0.49883983782147145</c:v>
                </c:pt>
                <c:pt idx="85">
                  <c:v>0.50302230920479218</c:v>
                </c:pt>
                <c:pt idx="86">
                  <c:v>0.5071991744815546</c:v>
                </c:pt>
                <c:pt idx="87">
                  <c:v>0.51137046402950148</c:v>
                </c:pt>
                <c:pt idx="88">
                  <c:v>0.5155362060494213</c:v>
                </c:pt>
                <c:pt idx="89">
                  <c:v>0.51969642666560556</c:v>
                </c:pt>
                <c:pt idx="90">
                  <c:v>0.52385115002280391</c:v>
                </c:pt>
                <c:pt idx="91">
                  <c:v>0.52800039837971147</c:v>
                </c:pt>
                <c:pt idx="92">
                  <c:v>0.53214419219906683</c:v>
                </c:pt>
                <c:pt idx="93">
                  <c:v>0.53628255023441473</c:v>
                </c:pt>
                <c:pt idx="94">
                  <c:v>0.54041548961362085</c:v>
                </c:pt>
                <c:pt idx="95">
                  <c:v>0.54454302591921155</c:v>
                </c:pt>
                <c:pt idx="96">
                  <c:v>0.54866517326562192</c:v>
                </c:pt>
                <c:pt idx="97">
                  <c:v>0.5527819443734352</c:v>
                </c:pt>
                <c:pt idx="98">
                  <c:v>0.55689335064070988</c:v>
                </c:pt>
                <c:pt idx="99">
                  <c:v>0.5609994022114666</c:v>
                </c:pt>
                <c:pt idx="100">
                  <c:v>0.56510010804143329</c:v>
                </c:pt>
                <c:pt idx="101">
                  <c:v>0.56919547596113995</c:v>
                </c:pt>
                <c:pt idx="102">
                  <c:v>0.57328551273643036</c:v>
                </c:pt>
                <c:pt idx="103">
                  <c:v>0.5773702241265023</c:v>
                </c:pt>
                <c:pt idx="104">
                  <c:v>0.58144961493954461</c:v>
                </c:pt>
                <c:pt idx="105">
                  <c:v>0.58552368908605579</c:v>
                </c:pt>
                <c:pt idx="106">
                  <c:v>0.5895924496299354</c:v>
                </c:pt>
                <c:pt idx="107">
                  <c:v>0.59365589883741543</c:v>
                </c:pt>
                <c:pt idx="108">
                  <c:v>0.59771403822392166</c:v>
                </c:pt>
                <c:pt idx="109">
                  <c:v>0.6017668685989348</c:v>
                </c:pt>
                <c:pt idx="110">
                  <c:v>0.60581439010892391</c:v>
                </c:pt>
                <c:pt idx="111">
                  <c:v>0.60985660227842942</c:v>
                </c:pt>
                <c:pt idx="112">
                  <c:v>0.61389350404936582</c:v>
                </c:pt>
                <c:pt idx="113">
                  <c:v>0.61792509381860483</c:v>
                </c:pt>
                <c:pt idx="114">
                  <c:v>0.62195136947391261</c:v>
                </c:pt>
                <c:pt idx="115">
                  <c:v>0.62597232842830364</c:v>
                </c:pt>
                <c:pt idx="116">
                  <c:v>0.62998796765286014</c:v>
                </c:pt>
                <c:pt idx="117">
                  <c:v>0.63399828370810596</c:v>
                </c:pt>
                <c:pt idx="118">
                  <c:v>0.63800327277395541</c:v>
                </c:pt>
                <c:pt idx="119">
                  <c:v>0.64200293067832259</c:v>
                </c:pt>
                <c:pt idx="120">
                  <c:v>0.64599725292442711</c:v>
                </c:pt>
                <c:pt idx="121">
                  <c:v>0.64998623471685746</c:v>
                </c:pt>
                <c:pt idx="122">
                  <c:v>0.65396987098643522</c:v>
                </c:pt>
                <c:pt idx="123">
                  <c:v>0.65794815641393434</c:v>
                </c:pt>
                <c:pt idx="124">
                  <c:v>0.66192108545269657</c:v>
                </c:pt>
                <c:pt idx="125">
                  <c:v>0.66588865235018802</c:v>
                </c:pt>
                <c:pt idx="126">
                  <c:v>0.66985085116854393</c:v>
                </c:pt>
                <c:pt idx="127">
                  <c:v>0.67380767580414036</c:v>
                </c:pt>
                <c:pt idx="128">
                  <c:v>0.67775912000623029</c:v>
                </c:pt>
                <c:pt idx="129">
                  <c:v>0.6817051773946845</c:v>
                </c:pt>
                <c:pt idx="130">
                  <c:v>0.68564584147687713</c:v>
                </c:pt>
                <c:pt idx="131">
                  <c:v>0.6895811056637412</c:v>
                </c:pt>
                <c:pt idx="132">
                  <c:v>0.69351096328504347</c:v>
                </c:pt>
                <c:pt idx="133">
                  <c:v>0.69743540760389611</c:v>
                </c:pt>
                <c:pt idx="134">
                  <c:v>0.70135443183054491</c:v>
                </c:pt>
                <c:pt idx="135">
                  <c:v>0.70526802913546516</c:v>
                </c:pt>
                <c:pt idx="136">
                  <c:v>0.70917619266178611</c:v>
                </c:pt>
                <c:pt idx="137">
                  <c:v>0.71307891553708302</c:v>
                </c:pt>
                <c:pt idx="138">
                  <c:v>0.71697619088455278</c:v>
                </c:pt>
                <c:pt idx="139">
                  <c:v>0.72086801183360838</c:v>
                </c:pt>
                <c:pt idx="140">
                  <c:v>0.7247543715299084</c:v>
                </c:pt>
                <c:pt idx="141">
                  <c:v>0.72863526314485161</c:v>
                </c:pt>
                <c:pt idx="142">
                  <c:v>0.73251067988455565</c:v>
                </c:pt>
                <c:pt idx="143">
                  <c:v>0.73638061499834351</c:v>
                </c:pt>
                <c:pt idx="144">
                  <c:v>0.74024506178676197</c:v>
                </c:pt>
                <c:pt idx="145">
                  <c:v>0.74410401360914069</c:v>
                </c:pt>
                <c:pt idx="146">
                  <c:v>0.7479574638907257</c:v>
                </c:pt>
                <c:pt idx="147">
                  <c:v>0.75180540612940117</c:v>
                </c:pt>
                <c:pt idx="148">
                  <c:v>0.75564783390200418</c:v>
                </c:pt>
                <c:pt idx="149">
                  <c:v>0.75948474087027662</c:v>
                </c:pt>
                <c:pt idx="150">
                  <c:v>0.76331612078644395</c:v>
                </c:pt>
                <c:pt idx="151">
                  <c:v>0.76714196749844887</c:v>
                </c:pt>
                <c:pt idx="152">
                  <c:v>0.77096227495486214</c:v>
                </c:pt>
                <c:pt idx="153">
                  <c:v>0.77477703720946367</c:v>
                </c:pt>
                <c:pt idx="154">
                  <c:v>0.7785862484255347</c:v>
                </c:pt>
                <c:pt idx="155">
                  <c:v>0.78238990287984922</c:v>
                </c:pt>
                <c:pt idx="156">
                  <c:v>0.78618799496639724</c:v>
                </c:pt>
                <c:pt idx="157">
                  <c:v>0.78998051919983892</c:v>
                </c:pt>
                <c:pt idx="158">
                  <c:v>0.7937674702187113</c:v>
                </c:pt>
                <c:pt idx="159">
                  <c:v>0.79754884278838756</c:v>
                </c:pt>
                <c:pt idx="160">
                  <c:v>0.80132463180381297</c:v>
                </c:pt>
                <c:pt idx="161">
                  <c:v>0.80509483229201795</c:v>
                </c:pt>
                <c:pt idx="162">
                  <c:v>0.80885943941442195</c:v>
                </c:pt>
                <c:pt idx="163">
                  <c:v>0.81261844846893694</c:v>
                </c:pt>
                <c:pt idx="164">
                  <c:v>0.81637185489188213</c:v>
                </c:pt>
                <c:pt idx="165">
                  <c:v>0.82011965425971378</c:v>
                </c:pt>
                <c:pt idx="166">
                  <c:v>0.8238618422905879</c:v>
                </c:pt>
                <c:pt idx="167">
                  <c:v>0.82759841484574759</c:v>
                </c:pt>
                <c:pt idx="168">
                  <c:v>0.83132936793076206</c:v>
                </c:pt>
                <c:pt idx="169">
                  <c:v>0.835054697696613</c:v>
                </c:pt>
                <c:pt idx="170">
                  <c:v>0.83877440044063423</c:v>
                </c:pt>
                <c:pt idx="171">
                  <c:v>0.84248847260732096</c:v>
                </c:pt>
                <c:pt idx="172">
                  <c:v>0.84619691078900638</c:v>
                </c:pt>
                <c:pt idx="173">
                  <c:v>0.84989971172641643</c:v>
                </c:pt>
                <c:pt idx="174">
                  <c:v>0.85359687230910741</c:v>
                </c:pt>
                <c:pt idx="175">
                  <c:v>0.85728838957578979</c:v>
                </c:pt>
                <c:pt idx="176">
                  <c:v>0.86097426071455296</c:v>
                </c:pt>
                <c:pt idx="177">
                  <c:v>0.86465448306298165</c:v>
                </c:pt>
                <c:pt idx="178">
                  <c:v>0.86832905410818051</c:v>
                </c:pt>
                <c:pt idx="179">
                  <c:v>0.87199797148671121</c:v>
                </c:pt>
                <c:pt idx="180">
                  <c:v>0.87566123298443976</c:v>
                </c:pt>
                <c:pt idx="181">
                  <c:v>0.87931883653630294</c:v>
                </c:pt>
                <c:pt idx="182">
                  <c:v>0.88297078022600162</c:v>
                </c:pt>
                <c:pt idx="183">
                  <c:v>0.88661706228561299</c:v>
                </c:pt>
                <c:pt idx="184">
                  <c:v>0.8902576810951468</c:v>
                </c:pt>
                <c:pt idx="185">
                  <c:v>0.89389263518202089</c:v>
                </c:pt>
                <c:pt idx="186">
                  <c:v>0.8975219232204904</c:v>
                </c:pt>
                <c:pt idx="187">
                  <c:v>0.90114554403100855</c:v>
                </c:pt>
                <c:pt idx="188">
                  <c:v>0.90476349657953459</c:v>
                </c:pt>
                <c:pt idx="189">
                  <c:v>0.90837577997679264</c:v>
                </c:pt>
                <c:pt idx="190">
                  <c:v>0.91198239347748289</c:v>
                </c:pt>
                <c:pt idx="191">
                  <c:v>0.91558333647944046</c:v>
                </c:pt>
                <c:pt idx="192">
                  <c:v>0.9191786085227599</c:v>
                </c:pt>
                <c:pt idx="193">
                  <c:v>0.92276820928887393</c:v>
                </c:pt>
                <c:pt idx="194">
                  <c:v>0.92635213859959464</c:v>
                </c:pt>
                <c:pt idx="195">
                  <c:v>0.92993039641612196</c:v>
                </c:pt>
                <c:pt idx="196">
                  <c:v>0.93350298283801769</c:v>
                </c:pt>
                <c:pt idx="197">
                  <c:v>0.93706989810214758</c:v>
                </c:pt>
                <c:pt idx="198">
                  <c:v>0.94063114258159752</c:v>
                </c:pt>
                <c:pt idx="199">
                  <c:v>0.94418671678456156</c:v>
                </c:pt>
                <c:pt idx="200">
                  <c:v>0.94773662135320091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応答係数!$E$2</c:f>
              <c:strCache>
                <c:ptCount val="1"/>
                <c:pt idx="0">
                  <c:v>吸熱応答（二等辺三角）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応答係数!$E$3:$E$4003</c:f>
              <c:numCache>
                <c:formatCode>0.0000</c:formatCode>
                <c:ptCount val="4001"/>
                <c:pt idx="0">
                  <c:v>5.9376795305769392E-2</c:v>
                </c:pt>
                <c:pt idx="1">
                  <c:v>4.7076368692171557E-2</c:v>
                </c:pt>
                <c:pt idx="2">
                  <c:v>1.7747867439566647E-2</c:v>
                </c:pt>
                <c:pt idx="3">
                  <c:v>9.7312176749928762E-3</c:v>
                </c:pt>
                <c:pt idx="4">
                  <c:v>7.0356949002978071E-3</c:v>
                </c:pt>
                <c:pt idx="5">
                  <c:v>5.883576227539245E-3</c:v>
                </c:pt>
                <c:pt idx="6">
                  <c:v>5.2986969109093179E-3</c:v>
                </c:pt>
                <c:pt idx="7">
                  <c:v>4.9787560616231033E-3</c:v>
                </c:pt>
                <c:pt idx="8">
                  <c:v>4.8028718468970466E-3</c:v>
                </c:pt>
                <c:pt idx="9">
                  <c:v>4.7104120394299547E-3</c:v>
                </c:pt>
                <c:pt idx="10">
                  <c:v>4.6667549866635386E-3</c:v>
                </c:pt>
                <c:pt idx="11">
                  <c:v>4.6510571372835475E-3</c:v>
                </c:pt>
                <c:pt idx="12">
                  <c:v>4.6505968200448314E-3</c:v>
                </c:pt>
                <c:pt idx="13">
                  <c:v>4.6576485927933954E-3</c:v>
                </c:pt>
                <c:pt idx="14">
                  <c:v>4.667600592194566E-3</c:v>
                </c:pt>
                <c:pt idx="15">
                  <c:v>4.6777818689045739E-3</c:v>
                </c:pt>
                <c:pt idx="16">
                  <c:v>4.6867239128320489E-3</c:v>
                </c:pt>
                <c:pt idx="17">
                  <c:v>4.6936947098721593E-3</c:v>
                </c:pt>
                <c:pt idx="18">
                  <c:v>4.6984053725106466E-3</c:v>
                </c:pt>
                <c:pt idx="19">
                  <c:v>4.7008262891719442E-3</c:v>
                </c:pt>
                <c:pt idx="20">
                  <c:v>4.7010727411557068E-3</c:v>
                </c:pt>
                <c:pt idx="21">
                  <c:v>4.6993344967048078E-3</c:v>
                </c:pt>
                <c:pt idx="22">
                  <c:v>4.6958331571863177E-3</c:v>
                </c:pt>
                <c:pt idx="23">
                  <c:v>4.6907969360793752E-3</c:v>
                </c:pt>
                <c:pt idx="24">
                  <c:v>4.6844463168493429E-3</c:v>
                </c:pt>
                <c:pt idx="25">
                  <c:v>4.6769864358594902E-3</c:v>
                </c:pt>
                <c:pt idx="26">
                  <c:v>4.6686035653214168E-3</c:v>
                </c:pt>
                <c:pt idx="27">
                  <c:v>4.6594640442367405E-3</c:v>
                </c:pt>
                <c:pt idx="28">
                  <c:v>4.6497146236299134E-3</c:v>
                </c:pt>
                <c:pt idx="29">
                  <c:v>4.6394835846198584E-3</c:v>
                </c:pt>
                <c:pt idx="30">
                  <c:v>4.6288822360526548E-3</c:v>
                </c:pt>
                <c:pt idx="31">
                  <c:v>4.6180065548669779E-3</c:v>
                </c:pt>
                <c:pt idx="32">
                  <c:v>4.6069388304865351E-3</c:v>
                </c:pt>
                <c:pt idx="33">
                  <c:v>4.5957492356283975E-3</c:v>
                </c:pt>
                <c:pt idx="34">
                  <c:v>4.5844972835587198E-3</c:v>
                </c:pt>
                <c:pt idx="35">
                  <c:v>4.5732331546638055E-3</c:v>
                </c:pt>
                <c:pt idx="36">
                  <c:v>4.5619988887354804E-3</c:v>
                </c:pt>
                <c:pt idx="37">
                  <c:v>4.5508294470896831E-3</c:v>
                </c:pt>
                <c:pt idx="38">
                  <c:v>4.5397536527611365E-3</c:v>
                </c:pt>
                <c:pt idx="39">
                  <c:v>4.5287950189455972E-3</c:v>
                </c:pt>
                <c:pt idx="40">
                  <c:v>4.5179724764759076E-3</c:v>
                </c:pt>
                <c:pt idx="41">
                  <c:v>4.5073010109712916E-3</c:v>
                </c:pt>
                <c:pt idx="42">
                  <c:v>4.4967922197336526E-3</c:v>
                </c:pt>
                <c:pt idx="43">
                  <c:v>4.486454797690863E-3</c:v>
                </c:pt>
                <c:pt idx="44">
                  <c:v>4.4762949608318763E-3</c:v>
                </c:pt>
                <c:pt idx="45">
                  <c:v>4.4663168147169264E-3</c:v>
                </c:pt>
                <c:pt idx="46">
                  <c:v>4.4565226748198589E-3</c:v>
                </c:pt>
                <c:pt idx="47">
                  <c:v>4.4469133446906478E-3</c:v>
                </c:pt>
                <c:pt idx="48">
                  <c:v>4.4374883572241564E-3</c:v>
                </c:pt>
                <c:pt idx="49">
                  <c:v>4.4282461836883105E-3</c:v>
                </c:pt>
                <c:pt idx="50">
                  <c:v>4.4191844145993753E-3</c:v>
                </c:pt>
                <c:pt idx="51">
                  <c:v>4.4102999160299371E-3</c:v>
                </c:pt>
                <c:pt idx="52">
                  <c:v>4.4015889644910666E-3</c:v>
                </c:pt>
                <c:pt idx="53">
                  <c:v>4.3930473631389032E-3</c:v>
                </c:pt>
                <c:pt idx="54">
                  <c:v>4.3846705417116098E-3</c:v>
                </c:pt>
                <c:pt idx="55">
                  <c:v>4.3764536423005372E-3</c:v>
                </c:pt>
                <c:pt idx="56">
                  <c:v>4.3683915927943233E-3</c:v>
                </c:pt>
                <c:pt idx="57">
                  <c:v>4.3604791696025529E-3</c:v>
                </c:pt>
                <c:pt idx="58">
                  <c:v>4.3527110510621723E-3</c:v>
                </c:pt>
                <c:pt idx="59">
                  <c:v>4.3450818627519998E-3</c:v>
                </c:pt>
                <c:pt idx="60">
                  <c:v>4.3375862157849299E-3</c:v>
                </c:pt>
                <c:pt idx="61">
                  <c:v>4.3302187390113368E-3</c:v>
                </c:pt>
                <c:pt idx="62">
                  <c:v>4.3229741059480509E-3</c:v>
                </c:pt>
                <c:pt idx="63">
                  <c:v>4.3158470571433129E-3</c:v>
                </c:pt>
                <c:pt idx="64">
                  <c:v>4.3088324185970462E-3</c:v>
                </c:pt>
                <c:pt idx="65">
                  <c:v>4.3019251167763506E-3</c:v>
                </c:pt>
                <c:pt idx="66">
                  <c:v>4.2951201906966134E-3</c:v>
                </c:pt>
                <c:pt idx="67">
                  <c:v>4.288412801478003E-3</c:v>
                </c:pt>
                <c:pt idx="68">
                  <c:v>4.2817982397339817E-3</c:v>
                </c:pt>
                <c:pt idx="69">
                  <c:v>4.2752719311023122E-3</c:v>
                </c:pt>
                <c:pt idx="70">
                  <c:v>4.2688294401884638E-3</c:v>
                </c:pt>
                <c:pt idx="71">
                  <c:v>4.2624664731560884E-3</c:v>
                </c:pt>
                <c:pt idx="72">
                  <c:v>4.2561788791684076E-3</c:v>
                </c:pt>
                <c:pt idx="73">
                  <c:v>4.2499626508573718E-3</c:v>
                </c:pt>
                <c:pt idx="74">
                  <c:v>4.2438139239741202E-3</c:v>
                </c:pt>
                <c:pt idx="75">
                  <c:v>4.2377289763536044E-3</c:v>
                </c:pt>
                <c:pt idx="76">
                  <c:v>4.2317042263085346E-3</c:v>
                </c:pt>
                <c:pt idx="77">
                  <c:v>4.2257362305521328E-3</c:v>
                </c:pt>
                <c:pt idx="78">
                  <c:v>4.2198216817356067E-3</c:v>
                </c:pt>
                <c:pt idx="79">
                  <c:v>4.2139574056744731E-3</c:v>
                </c:pt>
                <c:pt idx="80">
                  <c:v>4.2081403583275031E-3</c:v>
                </c:pt>
                <c:pt idx="81">
                  <c:v>4.2023676225830774E-3</c:v>
                </c:pt>
                <c:pt idx="82">
                  <c:v>4.1966364049000017E-3</c:v>
                </c:pt>
                <c:pt idx="83">
                  <c:v>4.1909440318429209E-3</c:v>
                </c:pt>
                <c:pt idx="84">
                  <c:v>4.1852879465466928E-3</c:v>
                </c:pt>
                <c:pt idx="85">
                  <c:v>4.1796657051388344E-3</c:v>
                </c:pt>
                <c:pt idx="86">
                  <c:v>4.1740749731447617E-3</c:v>
                </c:pt>
                <c:pt idx="87">
                  <c:v>4.1685135218966895E-3</c:v>
                </c:pt>
                <c:pt idx="88">
                  <c:v>4.162979224963617E-3</c:v>
                </c:pt>
                <c:pt idx="89">
                  <c:v>4.1574700546170512E-3</c:v>
                </c:pt>
                <c:pt idx="90">
                  <c:v>4.1519840783445124E-3</c:v>
                </c:pt>
                <c:pt idx="91">
                  <c:v>4.1465194554207233E-3</c:v>
                </c:pt>
                <c:pt idx="92">
                  <c:v>4.1410744335445256E-3</c:v>
                </c:pt>
                <c:pt idx="93">
                  <c:v>4.135647345547968E-3</c:v>
                </c:pt>
                <c:pt idx="94">
                  <c:v>4.1302366061825605E-3</c:v>
                </c:pt>
                <c:pt idx="95">
                  <c:v>4.1248407089865928E-3</c:v>
                </c:pt>
                <c:pt idx="96">
                  <c:v>4.1194582232363178E-3</c:v>
                </c:pt>
                <c:pt idx="97">
                  <c:v>4.1140877909829586E-3</c:v>
                </c:pt>
                <c:pt idx="98">
                  <c:v>4.108728124176798E-3</c:v>
                </c:pt>
                <c:pt idx="99">
                  <c:v>4.103378001878902E-3</c:v>
                </c:pt>
                <c:pt idx="100">
                  <c:v>4.0980362675605564E-3</c:v>
                </c:pt>
                <c:pt idx="101">
                  <c:v>4.0927018264900472E-3</c:v>
                </c:pt>
                <c:pt idx="102">
                  <c:v>4.0873736432060145E-3</c:v>
                </c:pt>
                <c:pt idx="103">
                  <c:v>4.082050739076316E-3</c:v>
                </c:pt>
                <c:pt idx="104">
                  <c:v>4.0767321899410911E-3</c:v>
                </c:pt>
                <c:pt idx="105">
                  <c:v>4.0714171238384767E-3</c:v>
                </c:pt>
                <c:pt idx="106">
                  <c:v>4.0661047188113213E-3</c:v>
                </c:pt>
                <c:pt idx="107">
                  <c:v>4.060794200793018E-3</c:v>
                </c:pt>
                <c:pt idx="108">
                  <c:v>4.0554848415705804E-3</c:v>
                </c:pt>
                <c:pt idx="109">
                  <c:v>4.0501759568229104E-3</c:v>
                </c:pt>
                <c:pt idx="110">
                  <c:v>4.0448669042322544E-3</c:v>
                </c:pt>
                <c:pt idx="111">
                  <c:v>4.0395570816667038E-3</c:v>
                </c:pt>
                <c:pt idx="112">
                  <c:v>4.0342459254316555E-3</c:v>
                </c:pt>
                <c:pt idx="113">
                  <c:v>4.0289329085881195E-3</c:v>
                </c:pt>
                <c:pt idx="114">
                  <c:v>4.0236175393357386E-3</c:v>
                </c:pt>
                <c:pt idx="115">
                  <c:v>4.0182993594584564E-3</c:v>
                </c:pt>
                <c:pt idx="116">
                  <c:v>4.0129779428307189E-3</c:v>
                </c:pt>
                <c:pt idx="117">
                  <c:v>4.0076528939822177E-3</c:v>
                </c:pt>
                <c:pt idx="118">
                  <c:v>4.002323846719111E-3</c:v>
                </c:pt>
                <c:pt idx="119">
                  <c:v>3.9969904627998043E-3</c:v>
                </c:pt>
                <c:pt idx="120">
                  <c:v>3.991652430663321E-3</c:v>
                </c:pt>
                <c:pt idx="121">
                  <c:v>3.9863094642084247E-3</c:v>
                </c:pt>
                <c:pt idx="122">
                  <c:v>3.9809613016216104E-3</c:v>
                </c:pt>
                <c:pt idx="123">
                  <c:v>3.9756077042522398E-3</c:v>
                </c:pt>
                <c:pt idx="124">
                  <c:v>3.970248455533021E-3</c:v>
                </c:pt>
                <c:pt idx="125">
                  <c:v>3.9648833599442105E-3</c:v>
                </c:pt>
                <c:pt idx="126">
                  <c:v>3.9595122420198661E-3</c:v>
                </c:pt>
                <c:pt idx="127">
                  <c:v>3.9541349453945671E-3</c:v>
                </c:pt>
                <c:pt idx="128">
                  <c:v>3.9487513318891068E-3</c:v>
                </c:pt>
                <c:pt idx="129">
                  <c:v>3.9433612806336373E-3</c:v>
                </c:pt>
                <c:pt idx="130">
                  <c:v>3.9379646872268461E-3</c:v>
                </c:pt>
                <c:pt idx="131">
                  <c:v>3.9325614629297928E-3</c:v>
                </c:pt>
                <c:pt idx="132">
                  <c:v>3.9271515338930542E-3</c:v>
                </c:pt>
                <c:pt idx="133">
                  <c:v>3.9217348404158945E-3</c:v>
                </c:pt>
                <c:pt idx="134">
                  <c:v>3.9163113362362277E-3</c:v>
                </c:pt>
                <c:pt idx="135">
                  <c:v>3.9108809878501431E-3</c:v>
                </c:pt>
                <c:pt idx="136">
                  <c:v>3.9054437738598818E-3</c:v>
                </c:pt>
                <c:pt idx="137">
                  <c:v>3.8999996843490986E-3</c:v>
                </c:pt>
                <c:pt idx="138">
                  <c:v>3.8945487202843862E-3</c:v>
                </c:pt>
                <c:pt idx="139">
                  <c:v>3.8890908929419942E-3</c:v>
                </c:pt>
                <c:pt idx="140">
                  <c:v>3.8836262233587575E-3</c:v>
                </c:pt>
                <c:pt idx="141">
                  <c:v>3.8781547418062843E-3</c:v>
                </c:pt>
                <c:pt idx="142">
                  <c:v>3.8726764872874697E-3</c:v>
                </c:pt>
                <c:pt idx="143">
                  <c:v>3.8671915070544569E-3</c:v>
                </c:pt>
                <c:pt idx="144">
                  <c:v>3.8616998561471923E-3</c:v>
                </c:pt>
                <c:pt idx="145">
                  <c:v>3.8562015969517407E-3</c:v>
                </c:pt>
                <c:pt idx="146">
                  <c:v>3.8506967987776003E-3</c:v>
                </c:pt>
                <c:pt idx="147">
                  <c:v>3.8451855374532157E-3</c:v>
                </c:pt>
                <c:pt idx="148">
                  <c:v>3.8396678949390067E-3</c:v>
                </c:pt>
                <c:pt idx="149">
                  <c:v>3.8341439589571757E-3</c:v>
                </c:pt>
                <c:pt idx="150">
                  <c:v>3.8286138226376293E-3</c:v>
                </c:pt>
                <c:pt idx="151">
                  <c:v>3.8230775841793792E-3</c:v>
                </c:pt>
                <c:pt idx="152">
                  <c:v>3.8175353465267807E-3</c:v>
                </c:pt>
                <c:pt idx="153">
                  <c:v>3.8119872170600125E-3</c:v>
                </c:pt>
                <c:pt idx="154">
                  <c:v>3.806433307299243E-3</c:v>
                </c:pt>
                <c:pt idx="155">
                  <c:v>3.8008737326218965E-3</c:v>
                </c:pt>
                <c:pt idx="156">
                  <c:v>3.7953086119925225E-3</c:v>
                </c:pt>
                <c:pt idx="157">
                  <c:v>3.7897380677047246E-3</c:v>
                </c:pt>
                <c:pt idx="158">
                  <c:v>3.7841622251346945E-3</c:v>
                </c:pt>
                <c:pt idx="159">
                  <c:v>3.7785812125058394E-3</c:v>
                </c:pt>
                <c:pt idx="160">
                  <c:v>3.7729951606640874E-3</c:v>
                </c:pt>
                <c:pt idx="161">
                  <c:v>3.7674042028634147E-3</c:v>
                </c:pt>
                <c:pt idx="162">
                  <c:v>3.76180847456118E-3</c:v>
                </c:pt>
                <c:pt idx="163">
                  <c:v>3.756208113222869E-3</c:v>
                </c:pt>
                <c:pt idx="164">
                  <c:v>3.7506032581358646E-3</c:v>
                </c:pt>
                <c:pt idx="165">
                  <c:v>3.7449940502318666E-3</c:v>
                </c:pt>
                <c:pt idx="166">
                  <c:v>3.7393806319176099E-3</c:v>
                </c:pt>
                <c:pt idx="167">
                  <c:v>3.7337631469135379E-3</c:v>
                </c:pt>
                <c:pt idx="168">
                  <c:v>3.7281417401001066E-3</c:v>
                </c:pt>
                <c:pt idx="169">
                  <c:v>3.7225165573714059E-3</c:v>
                </c:pt>
                <c:pt idx="170">
                  <c:v>3.7168877454957783E-3</c:v>
                </c:pt>
                <c:pt idx="171">
                  <c:v>3.7112554519831763E-3</c:v>
                </c:pt>
                <c:pt idx="172">
                  <c:v>3.7056198249589521E-3</c:v>
                </c:pt>
                <c:pt idx="173">
                  <c:v>3.6999810130438214E-3</c:v>
                </c:pt>
                <c:pt idx="174">
                  <c:v>3.6943391652397516E-3</c:v>
                </c:pt>
                <c:pt idx="175">
                  <c:v>3.6886944308215128E-3</c:v>
                </c:pt>
                <c:pt idx="176">
                  <c:v>3.6830469592336709E-3</c:v>
                </c:pt>
                <c:pt idx="177">
                  <c:v>3.6773968999927824E-3</c:v>
                </c:pt>
                <c:pt idx="178">
                  <c:v>3.6717444025945773E-3</c:v>
                </c:pt>
                <c:pt idx="179">
                  <c:v>3.6660896164259259E-3</c:v>
                </c:pt>
                <c:pt idx="180">
                  <c:v>3.6604326906813749E-3</c:v>
                </c:pt>
                <c:pt idx="181">
                  <c:v>3.6547737742840779E-3</c:v>
                </c:pt>
                <c:pt idx="182">
                  <c:v>3.6491130158109132E-3</c:v>
                </c:pt>
                <c:pt idx="183">
                  <c:v>3.6434505634216326E-3</c:v>
                </c:pt>
                <c:pt idx="184">
                  <c:v>3.6377865647918548E-3</c:v>
                </c:pt>
                <c:pt idx="185">
                  <c:v>3.632121167049745E-3</c:v>
                </c:pt>
                <c:pt idx="186">
                  <c:v>3.6264545167162244E-3</c:v>
                </c:pt>
                <c:pt idx="187">
                  <c:v>3.6207867596485576E-3</c:v>
                </c:pt>
                <c:pt idx="188">
                  <c:v>3.6151180409871682E-3</c:v>
                </c:pt>
                <c:pt idx="189">
                  <c:v>3.6094485051055549E-3</c:v>
                </c:pt>
                <c:pt idx="190">
                  <c:v>3.6037782955631583E-3</c:v>
                </c:pt>
                <c:pt idx="191">
                  <c:v>3.5981075550610649E-3</c:v>
                </c:pt>
                <c:pt idx="192">
                  <c:v>3.5924364254004203E-3</c:v>
                </c:pt>
                <c:pt idx="193">
                  <c:v>3.5867650474434307E-3</c:v>
                </c:pt>
                <c:pt idx="194">
                  <c:v>3.5810935610768335E-3</c:v>
                </c:pt>
                <c:pt idx="195">
                  <c:v>3.5754221051777558E-3</c:v>
                </c:pt>
                <c:pt idx="196">
                  <c:v>3.5697508175818161E-3</c:v>
                </c:pt>
                <c:pt idx="197">
                  <c:v>3.5640798350534022E-3</c:v>
                </c:pt>
                <c:pt idx="198">
                  <c:v>3.5584092932580127E-3</c:v>
                </c:pt>
                <c:pt idx="199">
                  <c:v>3.5527393267365788E-3</c:v>
                </c:pt>
                <c:pt idx="200">
                  <c:v>3.5470700688816637E-3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応答係数!$D$2</c:f>
              <c:strCache>
                <c:ptCount val="1"/>
                <c:pt idx="0">
                  <c:v>貫流応答（二等辺三角）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応答係数!$D$3:$D$4003</c:f>
              <c:numCache>
                <c:formatCode>0.0000</c:formatCode>
                <c:ptCount val="4001"/>
                <c:pt idx="0">
                  <c:v>6.8126652578788904E-5</c:v>
                </c:pt>
                <c:pt idx="1">
                  <c:v>-2.0155338838568249E-5</c:v>
                </c:pt>
                <c:pt idx="2">
                  <c:v>-1.7919285706088271E-4</c:v>
                </c:pt>
                <c:pt idx="3">
                  <c:v>4.3463410717643849E-5</c:v>
                </c:pt>
                <c:pt idx="4">
                  <c:v>2.9934030604507756E-4</c:v>
                </c:pt>
                <c:pt idx="5">
                  <c:v>5.2352951669157983E-4</c:v>
                </c:pt>
                <c:pt idx="6">
                  <c:v>7.1052650892616982E-4</c:v>
                </c:pt>
                <c:pt idx="7">
                  <c:v>8.6551269728263899E-4</c:v>
                </c:pt>
                <c:pt idx="8">
                  <c:v>9.9432725013327145E-4</c:v>
                </c:pt>
                <c:pt idx="9">
                  <c:v>1.1017782496967044E-3</c:v>
                </c:pt>
                <c:pt idx="10">
                  <c:v>1.1916258129720061E-3</c:v>
                </c:pt>
                <c:pt idx="11">
                  <c:v>1.2668165009237936E-3</c:v>
                </c:pt>
                <c:pt idx="12">
                  <c:v>1.3296949788434338E-3</c:v>
                </c:pt>
                <c:pt idx="13">
                  <c:v>1.3821593498823128E-3</c:v>
                </c:pt>
                <c:pt idx="14">
                  <c:v>1.4257703913910782E-3</c:v>
                </c:pt>
                <c:pt idx="15">
                  <c:v>1.4618283954509058E-3</c:v>
                </c:pt>
                <c:pt idx="16">
                  <c:v>1.4914280513105061E-3</c:v>
                </c:pt>
                <c:pt idx="17">
                  <c:v>1.5154984889656511E-3</c:v>
                </c:pt>
                <c:pt idx="18">
                  <c:v>1.5348331986812153E-3</c:v>
                </c:pt>
                <c:pt idx="19">
                  <c:v>1.5501129335851595E-3</c:v>
                </c:pt>
                <c:pt idx="20">
                  <c:v>1.5619236522623192E-3</c:v>
                </c:pt>
                <c:pt idx="21">
                  <c:v>1.5707708758894211E-3</c:v>
                </c:pt>
                <c:pt idx="22">
                  <c:v>1.5770913904185047E-3</c:v>
                </c:pt>
                <c:pt idx="23">
                  <c:v>1.5812629339856566E-3</c:v>
                </c:pt>
                <c:pt idx="24">
                  <c:v>1.5836123185048276E-3</c:v>
                </c:pt>
                <c:pt idx="25">
                  <c:v>1.5844223072407077E-3</c:v>
                </c:pt>
                <c:pt idx="26">
                  <c:v>1.5839374845352035E-3</c:v>
                </c:pt>
                <c:pt idx="27">
                  <c:v>1.5823692953312758E-3</c:v>
                </c:pt>
                <c:pt idx="28">
                  <c:v>1.5799003913913924E-3</c:v>
                </c:pt>
                <c:pt idx="29">
                  <c:v>1.5766883921420169E-3</c:v>
                </c:pt>
                <c:pt idx="30">
                  <c:v>1.5728691470030891E-3</c:v>
                </c:pt>
                <c:pt idx="31">
                  <c:v>1.56855957035302E-3</c:v>
                </c:pt>
                <c:pt idx="32">
                  <c:v>1.5638601082795499E-3</c:v>
                </c:pt>
                <c:pt idx="33">
                  <c:v>1.5588568868818086E-3</c:v>
                </c:pt>
                <c:pt idx="34">
                  <c:v>1.5536235843901102E-3</c:v>
                </c:pt>
                <c:pt idx="35">
                  <c:v>1.5482230632645774E-3</c:v>
                </c:pt>
                <c:pt idx="36">
                  <c:v>1.5427087933833682E-3</c:v>
                </c:pt>
                <c:pt idx="37">
                  <c:v>1.5371260931991593E-3</c:v>
                </c:pt>
                <c:pt idx="38">
                  <c:v>1.5315132121593122E-3</c:v>
                </c:pt>
                <c:pt idx="39">
                  <c:v>1.5259022746267666E-3</c:v>
                </c:pt>
                <c:pt idx="40">
                  <c:v>1.5203201029121557E-3</c:v>
                </c:pt>
                <c:pt idx="41">
                  <c:v>1.5147889347613237E-3</c:v>
                </c:pt>
                <c:pt idx="42">
                  <c:v>1.5093270486800951E-3</c:v>
                </c:pt>
                <c:pt idx="43">
                  <c:v>1.5039493087745785E-3</c:v>
                </c:pt>
                <c:pt idx="44">
                  <c:v>1.4986676393034467E-3</c:v>
                </c:pt>
                <c:pt idx="45">
                  <c:v>1.49349143784792E-3</c:v>
                </c:pt>
                <c:pt idx="46">
                  <c:v>1.4884279348796315E-3</c:v>
                </c:pt>
                <c:pt idx="47">
                  <c:v>1.4834825065244243E-3</c:v>
                </c:pt>
                <c:pt idx="48">
                  <c:v>1.4786589464625402E-3</c:v>
                </c:pt>
                <c:pt idx="49">
                  <c:v>1.4739597021566101E-3</c:v>
                </c:pt>
                <c:pt idx="50">
                  <c:v>1.4693860799443739E-3</c:v>
                </c:pt>
                <c:pt idx="51">
                  <c:v>1.4649384229610651E-3</c:v>
                </c:pt>
                <c:pt idx="52">
                  <c:v>1.4606162653564964E-3</c:v>
                </c:pt>
                <c:pt idx="53">
                  <c:v>1.4564184658348613E-3</c:v>
                </c:pt>
                <c:pt idx="54">
                  <c:v>1.4523433231632315E-3</c:v>
                </c:pt>
                <c:pt idx="55">
                  <c:v>1.448388675960777E-3</c:v>
                </c:pt>
                <c:pt idx="56">
                  <c:v>1.4445519887887278E-3</c:v>
                </c:pt>
                <c:pt idx="57">
                  <c:v>1.4408304263058491E-3</c:v>
                </c:pt>
                <c:pt idx="58">
                  <c:v>1.4372209170310239E-3</c:v>
                </c:pt>
                <c:pt idx="59">
                  <c:v>1.433720208059453E-3</c:v>
                </c:pt>
                <c:pt idx="60">
                  <c:v>1.4303249119084053E-3</c:v>
                </c:pt>
                <c:pt idx="61">
                  <c:v>1.427031546519365E-3</c:v>
                </c:pt>
                <c:pt idx="62">
                  <c:v>1.4238365693130832E-3</c:v>
                </c:pt>
                <c:pt idx="63">
                  <c:v>1.4207364060801026E-3</c:v>
                </c:pt>
                <c:pt idx="64">
                  <c:v>1.417727475389755E-3</c:v>
                </c:pt>
                <c:pt idx="65">
                  <c:v>1.4148062091135787E-3</c:v>
                </c:pt>
                <c:pt idx="66">
                  <c:v>1.4119690695830454E-3</c:v>
                </c:pt>
                <c:pt idx="67">
                  <c:v>1.4092125638350066E-3</c:v>
                </c:pt>
                <c:pt idx="68">
                  <c:v>1.4065332553401702E-3</c:v>
                </c:pt>
                <c:pt idx="69">
                  <c:v>1.4039277735591724E-3</c:v>
                </c:pt>
                <c:pt idx="70">
                  <c:v>1.4013928216264624E-3</c:v>
                </c:pt>
                <c:pt idx="71">
                  <c:v>1.3989251824234649E-3</c:v>
                </c:pt>
                <c:pt idx="72">
                  <c:v>1.3965217232686617E-3</c:v>
                </c:pt>
                <c:pt idx="73">
                  <c:v>1.3941793994226694E-3</c:v>
                </c:pt>
                <c:pt idx="74">
                  <c:v>1.3918952565805871E-3</c:v>
                </c:pt>
                <c:pt idx="75">
                  <c:v>1.3896664325013413E-3</c:v>
                </c:pt>
                <c:pt idx="76">
                  <c:v>1.3874901579041055E-3</c:v>
                </c:pt>
                <c:pt idx="77">
                  <c:v>1.3853637567446775E-3</c:v>
                </c:pt>
                <c:pt idx="78">
                  <c:v>1.3832846459697274E-3</c:v>
                </c:pt>
                <c:pt idx="79">
                  <c:v>1.3812503348337637E-3</c:v>
                </c:pt>
                <c:pt idx="80">
                  <c:v>1.3792584238522393E-3</c:v>
                </c:pt>
                <c:pt idx="81">
                  <c:v>1.3773066034543111E-3</c:v>
                </c:pt>
                <c:pt idx="82">
                  <c:v>1.3753926523900673E-3</c:v>
                </c:pt>
                <c:pt idx="83">
                  <c:v>1.3735144359395069E-3</c:v>
                </c:pt>
                <c:pt idx="84">
                  <c:v>1.3716699039639753E-3</c:v>
                </c:pt>
                <c:pt idx="85">
                  <c:v>1.3698570888350139E-3</c:v>
                </c:pt>
                <c:pt idx="86">
                  <c:v>1.3680741032706229E-3</c:v>
                </c:pt>
                <c:pt idx="87">
                  <c:v>1.3663191381045824E-3</c:v>
                </c:pt>
                <c:pt idx="88">
                  <c:v>1.364590460010705E-3</c:v>
                </c:pt>
                <c:pt idx="89">
                  <c:v>1.3628864092006384E-3</c:v>
                </c:pt>
                <c:pt idx="90">
                  <c:v>1.3612053971109642E-3</c:v>
                </c:pt>
                <c:pt idx="91">
                  <c:v>1.3595459040928947E-3</c:v>
                </c:pt>
                <c:pt idx="92">
                  <c:v>1.3579064771157198E-3</c:v>
                </c:pt>
                <c:pt idx="93">
                  <c:v>1.356285727493307E-3</c:v>
                </c:pt>
                <c:pt idx="94">
                  <c:v>1.3546823286413557E-3</c:v>
                </c:pt>
                <c:pt idx="95">
                  <c:v>1.3530950138717249E-3</c:v>
                </c:pt>
                <c:pt idx="96">
                  <c:v>1.3515225742289547E-3</c:v>
                </c:pt>
                <c:pt idx="97">
                  <c:v>1.3499638563730819E-3</c:v>
                </c:pt>
                <c:pt idx="98">
                  <c:v>1.3484177605119529E-3</c:v>
                </c:pt>
                <c:pt idx="99">
                  <c:v>1.3468832383854972E-3</c:v>
                </c:pt>
                <c:pt idx="100">
                  <c:v>1.3453592913037532E-3</c:v>
                </c:pt>
                <c:pt idx="101">
                  <c:v>1.3438449682399002E-3</c:v>
                </c:pt>
                <c:pt idx="102">
                  <c:v>1.3423393639790738E-3</c:v>
                </c:pt>
                <c:pt idx="103">
                  <c:v>1.3408416173233345E-3</c:v>
                </c:pt>
                <c:pt idx="104">
                  <c:v>1.3393509093528322E-3</c:v>
                </c:pt>
                <c:pt idx="105">
                  <c:v>1.3378664617429113E-3</c:v>
                </c:pt>
                <c:pt idx="106">
                  <c:v>1.3363875351366829E-3</c:v>
                </c:pt>
                <c:pt idx="107">
                  <c:v>1.334913427572366E-3</c:v>
                </c:pt>
                <c:pt idx="108">
                  <c:v>1.3334434729645661E-3</c:v>
                </c:pt>
                <c:pt idx="109">
                  <c:v>1.3319770396385024E-3</c:v>
                </c:pt>
                <c:pt idx="110">
                  <c:v>1.3305135289161081E-3</c:v>
                </c:pt>
                <c:pt idx="111">
                  <c:v>1.3290523737528304E-3</c:v>
                </c:pt>
                <c:pt idx="112">
                  <c:v>1.3275930374238964E-3</c:v>
                </c:pt>
                <c:pt idx="113">
                  <c:v>1.3261350122587678E-3</c:v>
                </c:pt>
                <c:pt idx="114">
                  <c:v>1.3246778184224644E-3</c:v>
                </c:pt>
                <c:pt idx="115">
                  <c:v>1.3232210027424223E-3</c:v>
                </c:pt>
                <c:pt idx="116">
                  <c:v>1.3217641375795305E-3</c:v>
                </c:pt>
                <c:pt idx="117">
                  <c:v>1.3203068197419985E-3</c:v>
                </c:pt>
                <c:pt idx="118">
                  <c:v>1.3188486694406996E-3</c:v>
                </c:pt>
                <c:pt idx="119">
                  <c:v>1.3173893292846549E-3</c:v>
                </c:pt>
                <c:pt idx="120">
                  <c:v>1.3159284633153228E-3</c:v>
                </c:pt>
                <c:pt idx="121">
                  <c:v>1.3144657560784025E-3</c:v>
                </c:pt>
                <c:pt idx="122">
                  <c:v>1.3130009117318499E-3</c:v>
                </c:pt>
                <c:pt idx="123">
                  <c:v>1.3115336531888608E-3</c:v>
                </c:pt>
                <c:pt idx="124">
                  <c:v>1.3100637212945824E-3</c:v>
                </c:pt>
                <c:pt idx="125">
                  <c:v>1.3085908740353544E-3</c:v>
                </c:pt>
                <c:pt idx="126">
                  <c:v>1.3071148857793017E-3</c:v>
                </c:pt>
                <c:pt idx="127">
                  <c:v>1.3056355465471473E-3</c:v>
                </c:pt>
                <c:pt idx="128">
                  <c:v>1.3041526613121277E-3</c:v>
                </c:pt>
                <c:pt idx="129">
                  <c:v>1.3026660493279376E-3</c:v>
                </c:pt>
                <c:pt idx="130">
                  <c:v>1.3011755434836614E-3</c:v>
                </c:pt>
                <c:pt idx="131">
                  <c:v>1.299680989684677E-3</c:v>
                </c:pt>
                <c:pt idx="132">
                  <c:v>1.2981822462585556E-3</c:v>
                </c:pt>
                <c:pt idx="133">
                  <c:v>1.2966791833850036E-3</c:v>
                </c:pt>
                <c:pt idx="134">
                  <c:v>1.2951716825489437E-3</c:v>
                </c:pt>
                <c:pt idx="135">
                  <c:v>1.2936596360158313E-3</c:v>
                </c:pt>
                <c:pt idx="136">
                  <c:v>1.2921429463283707E-3</c:v>
                </c:pt>
                <c:pt idx="137">
                  <c:v>1.2906215258237949E-3</c:v>
                </c:pt>
                <c:pt idx="138">
                  <c:v>1.2890952961709169E-3</c:v>
                </c:pt>
                <c:pt idx="139">
                  <c:v>1.287564187926183E-3</c:v>
                </c:pt>
                <c:pt idx="140">
                  <c:v>1.2860281401079934E-3</c:v>
                </c:pt>
                <c:pt idx="141">
                  <c:v>1.2844870997885747E-3</c:v>
                </c:pt>
                <c:pt idx="142">
                  <c:v>1.2829410217027146E-3</c:v>
                </c:pt>
                <c:pt idx="143">
                  <c:v>1.2813898678727038E-3</c:v>
                </c:pt>
                <c:pt idx="144">
                  <c:v>1.2798336072488432E-3</c:v>
                </c:pt>
                <c:pt idx="145">
                  <c:v>1.2782722153649086E-3</c:v>
                </c:pt>
                <c:pt idx="146">
                  <c:v>1.2767056740079768E-3</c:v>
                </c:pt>
                <c:pt idx="147">
                  <c:v>1.275133970902052E-3</c:v>
                </c:pt>
                <c:pt idx="148">
                  <c:v>1.273557099404942E-3</c:v>
                </c:pt>
                <c:pt idx="149">
                  <c:v>1.2719750582178605E-3</c:v>
                </c:pt>
                <c:pt idx="150">
                  <c:v>1.2703878511072519E-3</c:v>
                </c:pt>
                <c:pt idx="151">
                  <c:v>1.2687954866383491E-3</c:v>
                </c:pt>
                <c:pt idx="152">
                  <c:v>1.2671979779200005E-3</c:v>
                </c:pt>
                <c:pt idx="153">
                  <c:v>1.2655953423603146E-3</c:v>
                </c:pt>
                <c:pt idx="154">
                  <c:v>1.2639876014326947E-3</c:v>
                </c:pt>
                <c:pt idx="155">
                  <c:v>1.2623747804518426E-3</c:v>
                </c:pt>
                <c:pt idx="156">
                  <c:v>1.2607569083593342E-3</c:v>
                </c:pt>
                <c:pt idx="157">
                  <c:v>1.2591340175183889E-3</c:v>
                </c:pt>
                <c:pt idx="158">
                  <c:v>1.2575061435174564E-3</c:v>
                </c:pt>
                <c:pt idx="159">
                  <c:v>1.2558733249822716E-3</c:v>
                </c:pt>
                <c:pt idx="160">
                  <c:v>1.2542356033960356E-3</c:v>
                </c:pt>
                <c:pt idx="161">
                  <c:v>1.2525930229273976E-3</c:v>
                </c:pt>
                <c:pt idx="162">
                  <c:v>1.2509456302659189E-3</c:v>
                </c:pt>
                <c:pt idx="163">
                  <c:v>1.2492934744647239E-3</c:v>
                </c:pt>
                <c:pt idx="164">
                  <c:v>1.2476366067900419E-3</c:v>
                </c:pt>
                <c:pt idx="165">
                  <c:v>1.2459750805773658E-3</c:v>
                </c:pt>
                <c:pt idx="166">
                  <c:v>1.2443089510939559E-3</c:v>
                </c:pt>
                <c:pt idx="167">
                  <c:v>1.2426382754074331E-3</c:v>
                </c:pt>
                <c:pt idx="168">
                  <c:v>1.2409631122602184E-3</c:v>
                </c:pt>
                <c:pt idx="169">
                  <c:v>1.2392835219495757E-3</c:v>
                </c:pt>
                <c:pt idx="170">
                  <c:v>1.2375995662130311E-3</c:v>
                </c:pt>
                <c:pt idx="171">
                  <c:v>1.2359113081189545E-3</c:v>
                </c:pt>
                <c:pt idx="172">
                  <c:v>1.2342188119620881E-3</c:v>
                </c:pt>
                <c:pt idx="173">
                  <c:v>1.2325221431638187E-3</c:v>
                </c:pt>
                <c:pt idx="174">
                  <c:v>1.2308213681770097E-3</c:v>
                </c:pt>
                <c:pt idx="175">
                  <c:v>1.2291165543951929E-3</c:v>
                </c:pt>
                <c:pt idx="176">
                  <c:v>1.2274077700659533E-3</c:v>
                </c:pt>
                <c:pt idx="177">
                  <c:v>1.2256950842083232E-3</c:v>
                </c:pt>
                <c:pt idx="178">
                  <c:v>1.2239785665340364E-3</c:v>
                </c:pt>
                <c:pt idx="179">
                  <c:v>1.2222582873724663E-3</c:v>
                </c:pt>
                <c:pt idx="180">
                  <c:v>1.2205343175991101E-3</c:v>
                </c:pt>
                <c:pt idx="181">
                  <c:v>1.2188067285674646E-3</c:v>
                </c:pt>
                <c:pt idx="182">
                  <c:v>1.217075592044158E-3</c:v>
                </c:pt>
                <c:pt idx="183">
                  <c:v>1.2153409801471985E-3</c:v>
                </c:pt>
                <c:pt idx="184">
                  <c:v>1.2136029652872159E-3</c:v>
                </c:pt>
                <c:pt idx="185">
                  <c:v>1.2118616201115687E-3</c:v>
                </c:pt>
                <c:pt idx="186">
                  <c:v>1.210117017451196E-3</c:v>
                </c:pt>
                <c:pt idx="187">
                  <c:v>1.2083692302701041E-3</c:v>
                </c:pt>
                <c:pt idx="188">
                  <c:v>1.2066183316173738E-3</c:v>
                </c:pt>
                <c:pt idx="189">
                  <c:v>1.2048643945815859E-3</c:v>
                </c:pt>
                <c:pt idx="190">
                  <c:v>1.2031074922475627E-3</c:v>
                </c:pt>
                <c:pt idx="191">
                  <c:v>1.2013476976553245E-3</c:v>
                </c:pt>
                <c:pt idx="192">
                  <c:v>1.1995850837611777E-3</c:v>
                </c:pt>
                <c:pt idx="193">
                  <c:v>1.1978197234008311E-3</c:v>
                </c:pt>
                <c:pt idx="194">
                  <c:v>1.1960516892544678E-3</c:v>
                </c:pt>
                <c:pt idx="195">
                  <c:v>1.1942810538136785E-3</c:v>
                </c:pt>
                <c:pt idx="196">
                  <c:v>1.1925078893501887E-3</c:v>
                </c:pt>
                <c:pt idx="197">
                  <c:v>1.1907322678862923E-3</c:v>
                </c:pt>
                <c:pt idx="198">
                  <c:v>1.1889542611669243E-3</c:v>
                </c:pt>
                <c:pt idx="199">
                  <c:v>1.1871739406333064E-3</c:v>
                </c:pt>
                <c:pt idx="200">
                  <c:v>1.1853913773980881E-3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609600</xdr:colOff>
      <xdr:row>2</xdr:row>
      <xdr:rowOff>28575</xdr:rowOff>
    </xdr:to>
    <xdr:sp macro="[0]!Mai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0"/>
          <a:ext cx="1533524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応答係数を計算する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2</xdr:row>
          <xdr:rowOff>104775</xdr:rowOff>
        </xdr:from>
        <xdr:to>
          <xdr:col>13</xdr:col>
          <xdr:colOff>609600</xdr:colOff>
          <xdr:row>3</xdr:row>
          <xdr:rowOff>152400</xdr:rowOff>
        </xdr:to>
        <xdr:sp macro="" textlink="">
          <xdr:nvSpPr>
            <xdr:cNvPr id="17419" name="OptionButton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1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628650</xdr:colOff>
          <xdr:row>2</xdr:row>
          <xdr:rowOff>104775</xdr:rowOff>
        </xdr:from>
        <xdr:to>
          <xdr:col>14</xdr:col>
          <xdr:colOff>400050</xdr:colOff>
          <xdr:row>3</xdr:row>
          <xdr:rowOff>152400</xdr:rowOff>
        </xdr:to>
        <xdr:sp macro="" textlink="">
          <xdr:nvSpPr>
            <xdr:cNvPr id="17420" name="OptionButton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1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2</xdr:row>
          <xdr:rowOff>104775</xdr:rowOff>
        </xdr:from>
        <xdr:to>
          <xdr:col>15</xdr:col>
          <xdr:colOff>342900</xdr:colOff>
          <xdr:row>3</xdr:row>
          <xdr:rowOff>152400</xdr:rowOff>
        </xdr:to>
        <xdr:sp macro="" textlink="">
          <xdr:nvSpPr>
            <xdr:cNvPr id="17421" name="OptionButton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1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2</xdr:row>
          <xdr:rowOff>114300</xdr:rowOff>
        </xdr:from>
        <xdr:to>
          <xdr:col>16</xdr:col>
          <xdr:colOff>361950</xdr:colOff>
          <xdr:row>3</xdr:row>
          <xdr:rowOff>161925</xdr:rowOff>
        </xdr:to>
        <xdr:sp macro="" textlink="">
          <xdr:nvSpPr>
            <xdr:cNvPr id="17422" name="OptionButton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1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390525</xdr:colOff>
          <xdr:row>2</xdr:row>
          <xdr:rowOff>123825</xdr:rowOff>
        </xdr:from>
        <xdr:to>
          <xdr:col>17</xdr:col>
          <xdr:colOff>57150</xdr:colOff>
          <xdr:row>3</xdr:row>
          <xdr:rowOff>171450</xdr:rowOff>
        </xdr:to>
        <xdr:sp macro="" textlink="">
          <xdr:nvSpPr>
            <xdr:cNvPr id="17423" name="OptionButton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1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</xdr:row>
          <xdr:rowOff>123825</xdr:rowOff>
        </xdr:from>
        <xdr:to>
          <xdr:col>17</xdr:col>
          <xdr:colOff>495300</xdr:colOff>
          <xdr:row>3</xdr:row>
          <xdr:rowOff>171450</xdr:rowOff>
        </xdr:to>
        <xdr:sp macro="" textlink="">
          <xdr:nvSpPr>
            <xdr:cNvPr id="17424" name="OptionButton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1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385762</xdr:colOff>
      <xdr:row>785</xdr:row>
      <xdr:rowOff>85724</xdr:rowOff>
    </xdr:from>
    <xdr:to>
      <xdr:col>32</xdr:col>
      <xdr:colOff>461962</xdr:colOff>
      <xdr:row>806</xdr:row>
      <xdr:rowOff>28574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223837</xdr:colOff>
      <xdr:row>805</xdr:row>
      <xdr:rowOff>71437</xdr:rowOff>
    </xdr:from>
    <xdr:to>
      <xdr:col>10</xdr:col>
      <xdr:colOff>300037</xdr:colOff>
      <xdr:row>826</xdr:row>
      <xdr:rowOff>14287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76199</xdr:colOff>
      <xdr:row>803</xdr:row>
      <xdr:rowOff>114300</xdr:rowOff>
    </xdr:from>
    <xdr:to>
      <xdr:col>19</xdr:col>
      <xdr:colOff>152399</xdr:colOff>
      <xdr:row>824</xdr:row>
      <xdr:rowOff>57150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175260</xdr:colOff>
      <xdr:row>3977</xdr:row>
      <xdr:rowOff>30486</xdr:rowOff>
    </xdr:from>
    <xdr:to>
      <xdr:col>14</xdr:col>
      <xdr:colOff>198120</xdr:colOff>
      <xdr:row>3997</xdr:row>
      <xdr:rowOff>30486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175260</xdr:colOff>
      <xdr:row>3997</xdr:row>
      <xdr:rowOff>91446</xdr:rowOff>
    </xdr:from>
    <xdr:to>
      <xdr:col>14</xdr:col>
      <xdr:colOff>198120</xdr:colOff>
      <xdr:row>4017</xdr:row>
      <xdr:rowOff>91446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175260</xdr:colOff>
      <xdr:row>3997</xdr:row>
      <xdr:rowOff>91446</xdr:rowOff>
    </xdr:from>
    <xdr:to>
      <xdr:col>21</xdr:col>
      <xdr:colOff>533400</xdr:colOff>
      <xdr:row>4017</xdr:row>
      <xdr:rowOff>91446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toh/Dropbox/users/&#20316;&#26989;&#20013;&#26989;&#21209;/&#22522;&#25972;&#20419;E7share/55_&#34920;&#38754;&#28201;&#24230;&#24540;&#31572;&#12398;&#12503;&#12525;&#12464;&#12521;&#12512;/20180105&#31777;&#26131;&#12471;&#12511;&#12517;&#12524;&#12540;&#12479;&#65288;&#12471;&#12531;&#12503;&#12523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変更履歴"/>
      <sheetName val="入力データ"/>
      <sheetName val="計算条件"/>
      <sheetName val="開口部・建具"/>
      <sheetName val="庇"/>
      <sheetName val="壁体構成"/>
      <sheetName val="壁体構成（感度解析用）"/>
      <sheetName val="壁体構成（NEDO実験棟土壌10m）"/>
      <sheetName val="壁体構成（NEDO実験棟土間深さ検討用）"/>
      <sheetName val="壁体構成（単室モデル壁体構成）"/>
      <sheetName val="固定根"/>
      <sheetName val="応答係数"/>
      <sheetName val="気象データ"/>
      <sheetName val="主たる居室"/>
      <sheetName val="その他居室_寝室"/>
      <sheetName val="その他居室_子供室1"/>
      <sheetName val="その他居室_子供室2"/>
      <sheetName val="その他居室_和室"/>
      <sheetName val="非居室"/>
      <sheetName val="熱負荷・室温計算Template"/>
      <sheetName val="部位熱取得Template"/>
      <sheetName val="傾斜面日射量Template"/>
      <sheetName val="表面温度Template"/>
      <sheetName val="室内等価温度Template"/>
      <sheetName val="非定常畳み込みTemplate"/>
      <sheetName val="BRCTemplate"/>
      <sheetName val="BRMTemplate"/>
      <sheetName val="室内表面吸収日射Template"/>
      <sheetName val="相当外気温度Template"/>
      <sheetName val="開口部日射Template"/>
      <sheetName val="庇Template"/>
      <sheetName val="応答係数Template"/>
      <sheetName val="カレンダー"/>
      <sheetName val="局所換気スケジュール"/>
      <sheetName val="暖冷房スケジュール"/>
      <sheetName val="機器発熱スケジュール"/>
      <sheetName val="照明発熱スケジュール"/>
      <sheetName val="人体スケジュール"/>
    </sheetNames>
    <sheetDataSet>
      <sheetData sheetId="0" refreshError="1"/>
      <sheetData sheetId="1">
        <row r="2">
          <cell r="C2">
            <v>3600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C19"/>
  <sheetViews>
    <sheetView showGridLines="0" workbookViewId="0">
      <selection activeCell="C14" sqref="C14"/>
    </sheetView>
  </sheetViews>
  <sheetFormatPr defaultRowHeight="11.25"/>
  <cols>
    <col min="1" max="1" width="11.1640625" style="22" bestFit="1" customWidth="1"/>
    <col min="2" max="2" width="16.1640625" bestFit="1" customWidth="1"/>
    <col min="3" max="3" width="58.5" style="11" bestFit="1" customWidth="1"/>
  </cols>
  <sheetData>
    <row r="1" spans="1:3">
      <c r="A1" s="15" t="s">
        <v>0</v>
      </c>
      <c r="B1" s="15" t="s">
        <v>18</v>
      </c>
      <c r="C1" s="16" t="s">
        <v>19</v>
      </c>
    </row>
    <row r="2" spans="1:3">
      <c r="A2" s="20">
        <v>43306</v>
      </c>
      <c r="B2" s="3" t="s">
        <v>38</v>
      </c>
      <c r="C2" s="17" t="s">
        <v>39</v>
      </c>
    </row>
    <row r="3" spans="1:3">
      <c r="A3" s="20"/>
      <c r="B3" s="3"/>
      <c r="C3" s="17"/>
    </row>
    <row r="4" spans="1:3">
      <c r="A4" s="20"/>
      <c r="B4" s="3"/>
      <c r="C4" s="17"/>
    </row>
    <row r="5" spans="1:3">
      <c r="A5" s="20"/>
      <c r="B5" s="3"/>
      <c r="C5" s="17"/>
    </row>
    <row r="6" spans="1:3">
      <c r="A6" s="20"/>
      <c r="B6" s="3"/>
      <c r="C6" s="17"/>
    </row>
    <row r="7" spans="1:3">
      <c r="A7" s="20"/>
      <c r="B7" s="3"/>
      <c r="C7" s="17"/>
    </row>
    <row r="8" spans="1:3">
      <c r="A8" s="20"/>
      <c r="B8" s="3"/>
      <c r="C8" s="17"/>
    </row>
    <row r="9" spans="1:3">
      <c r="A9" s="20"/>
      <c r="B9" s="3"/>
      <c r="C9" s="17"/>
    </row>
    <row r="10" spans="1:3">
      <c r="A10" s="20"/>
      <c r="B10" s="17"/>
      <c r="C10" s="17"/>
    </row>
    <row r="11" spans="1:3">
      <c r="A11" s="20"/>
      <c r="B11" s="17"/>
      <c r="C11" s="17"/>
    </row>
    <row r="12" spans="1:3">
      <c r="A12" s="20"/>
      <c r="B12" s="17"/>
      <c r="C12" s="17"/>
    </row>
    <row r="13" spans="1:3">
      <c r="A13" s="20"/>
      <c r="B13" s="3"/>
      <c r="C13" s="17"/>
    </row>
    <row r="14" spans="1:3">
      <c r="A14" s="20"/>
      <c r="B14" s="19"/>
      <c r="C14" s="17"/>
    </row>
    <row r="15" spans="1:3">
      <c r="A15" s="20"/>
      <c r="B15" s="3"/>
      <c r="C15" s="17"/>
    </row>
    <row r="16" spans="1:3">
      <c r="A16" s="20"/>
      <c r="B16" s="19"/>
      <c r="C16" s="17"/>
    </row>
    <row r="17" spans="1:3">
      <c r="A17" s="20"/>
      <c r="B17" s="19"/>
      <c r="C17" s="17"/>
    </row>
    <row r="18" spans="1:3">
      <c r="A18" s="20"/>
      <c r="B18" s="3"/>
      <c r="C18" s="17"/>
    </row>
    <row r="19" spans="1:3">
      <c r="A19" s="20"/>
      <c r="B19" s="19"/>
      <c r="C19" s="17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Q13"/>
  <sheetViews>
    <sheetView showGridLines="0" workbookViewId="0">
      <pane xSplit="1" ySplit="5" topLeftCell="B6" activePane="bottomRight" state="frozen"/>
      <selection activeCell="K50" sqref="K50"/>
      <selection pane="topRight" activeCell="K50" sqref="K50"/>
      <selection pane="bottomLeft" activeCell="K50" sqref="K50"/>
      <selection pane="bottomRight" activeCell="G2" sqref="G2"/>
    </sheetView>
  </sheetViews>
  <sheetFormatPr defaultRowHeight="17.25" customHeight="1"/>
  <cols>
    <col min="1" max="1" width="16.1640625" bestFit="1" customWidth="1"/>
    <col min="2" max="2" width="38.83203125" bestFit="1" customWidth="1"/>
    <col min="3" max="3" width="11.1640625" bestFit="1" customWidth="1"/>
    <col min="4" max="4" width="11.6640625" bestFit="1" customWidth="1"/>
    <col min="5" max="5" width="6.33203125" bestFit="1" customWidth="1"/>
    <col min="6" max="6" width="13.6640625" bestFit="1" customWidth="1"/>
    <col min="7" max="7" width="18.33203125" bestFit="1" customWidth="1"/>
    <col min="8" max="8" width="14.33203125" bestFit="1" customWidth="1"/>
    <col min="9" max="9" width="19.1640625" bestFit="1" customWidth="1"/>
    <col min="10" max="11" width="19.1640625" customWidth="1"/>
    <col min="12" max="12" width="11.83203125" bestFit="1" customWidth="1"/>
    <col min="13" max="16" width="10.83203125" bestFit="1" customWidth="1"/>
    <col min="17" max="17" width="11.6640625" bestFit="1" customWidth="1"/>
  </cols>
  <sheetData>
    <row r="1" spans="1:17" ht="17.25" customHeight="1">
      <c r="C1" s="3" t="s">
        <v>11</v>
      </c>
      <c r="D1" s="6">
        <v>900</v>
      </c>
      <c r="E1" s="7" t="s">
        <v>12</v>
      </c>
      <c r="G1" s="3" t="s">
        <v>34</v>
      </c>
      <c r="H1" s="21">
        <f>1/(86400*365)</f>
        <v>3.1709791983764586E-8</v>
      </c>
      <c r="I1" s="21">
        <f>H1*$L$3</f>
        <v>1.0609884469193709E-7</v>
      </c>
      <c r="J1" s="21">
        <f t="shared" ref="J1:P1" si="0">I1*$L$3</f>
        <v>3.5499964335077801E-7</v>
      </c>
      <c r="K1" s="21">
        <f t="shared" si="0"/>
        <v>1.1878050806782888E-6</v>
      </c>
      <c r="L1" s="21">
        <f t="shared" si="0"/>
        <v>3.9743164144282072E-6</v>
      </c>
      <c r="M1" s="21">
        <f t="shared" si="0"/>
        <v>1.3297797104027989E-5</v>
      </c>
      <c r="N1" s="21">
        <f t="shared" si="0"/>
        <v>4.4493540367831091E-5</v>
      </c>
      <c r="O1" s="21">
        <f t="shared" si="0"/>
        <v>1.4887241239860385E-4</v>
      </c>
      <c r="P1" s="21">
        <f t="shared" si="0"/>
        <v>4.9811714217742637E-4</v>
      </c>
      <c r="Q1" s="3">
        <f>1/600</f>
        <v>1.6666666666666668E-3</v>
      </c>
    </row>
    <row r="2" spans="1:17" ht="17.25" customHeight="1">
      <c r="C2" s="3" t="s">
        <v>13</v>
      </c>
      <c r="D2" s="6">
        <v>50</v>
      </c>
      <c r="E2" s="7" t="s">
        <v>14</v>
      </c>
      <c r="G2" s="3" t="s">
        <v>35</v>
      </c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7.25" customHeight="1">
      <c r="C3" s="3" t="s">
        <v>37</v>
      </c>
      <c r="D3" s="25"/>
      <c r="E3" s="7" t="s">
        <v>14</v>
      </c>
      <c r="G3" s="23" t="s">
        <v>36</v>
      </c>
      <c r="H3" s="24"/>
      <c r="I3" s="24"/>
      <c r="J3" s="24"/>
      <c r="K3" s="24" t="s">
        <v>53</v>
      </c>
      <c r="L3" s="24">
        <f>(Q1/H1)^(1/9)</f>
        <v>3.3459331662049281</v>
      </c>
      <c r="M3" s="24"/>
    </row>
    <row r="4" spans="1:17" ht="17.25" customHeight="1">
      <c r="A4" s="1" t="s">
        <v>9</v>
      </c>
      <c r="B4" s="1" t="s">
        <v>8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16</v>
      </c>
      <c r="I4" s="1" t="s">
        <v>17</v>
      </c>
      <c r="J4" s="1" t="s">
        <v>22</v>
      </c>
      <c r="K4" s="1" t="s">
        <v>20</v>
      </c>
      <c r="L4" s="1" t="s">
        <v>10</v>
      </c>
      <c r="M4" s="24"/>
    </row>
    <row r="5" spans="1:17" ht="17.25" customHeight="1">
      <c r="A5" s="12"/>
      <c r="B5" s="12"/>
      <c r="C5" s="12" t="s">
        <v>24</v>
      </c>
      <c r="D5" s="12" t="s">
        <v>15</v>
      </c>
      <c r="E5" s="12" t="s">
        <v>7</v>
      </c>
      <c r="F5" s="12" t="s">
        <v>23</v>
      </c>
      <c r="G5" s="12" t="s">
        <v>25</v>
      </c>
      <c r="H5" s="12" t="s">
        <v>1</v>
      </c>
      <c r="I5" s="12" t="s">
        <v>1</v>
      </c>
      <c r="J5" s="12" t="s">
        <v>21</v>
      </c>
      <c r="K5" s="12" t="s">
        <v>21</v>
      </c>
      <c r="L5" s="12" t="s">
        <v>21</v>
      </c>
      <c r="N5" t="b">
        <v>0</v>
      </c>
    </row>
    <row r="6" spans="1:17" ht="17.25" customHeight="1">
      <c r="A6" s="8" t="s">
        <v>51</v>
      </c>
      <c r="B6" s="3" t="s">
        <v>40</v>
      </c>
      <c r="C6" s="26"/>
      <c r="D6" s="3"/>
      <c r="E6" s="3"/>
      <c r="F6" s="32">
        <v>4.09090909E-2</v>
      </c>
      <c r="G6" s="31">
        <v>7.47</v>
      </c>
      <c r="H6" s="8">
        <v>0.9</v>
      </c>
      <c r="I6" s="8">
        <v>0.8</v>
      </c>
      <c r="J6" s="8">
        <v>4.0999999999999996</v>
      </c>
      <c r="K6" s="8">
        <v>5</v>
      </c>
      <c r="L6" s="18">
        <f>1/(SUM(F6:F11)+1/SUM(J6:K6))</f>
        <v>0.30504306299814821</v>
      </c>
      <c r="N6" t="b">
        <v>0</v>
      </c>
    </row>
    <row r="7" spans="1:17" ht="17.25" customHeight="1">
      <c r="A7" s="9"/>
      <c r="B7" s="3" t="s">
        <v>41</v>
      </c>
      <c r="C7" s="26"/>
      <c r="D7" s="3"/>
      <c r="E7" s="3"/>
      <c r="F7" s="32">
        <v>7.0000000000000007E-2</v>
      </c>
      <c r="G7" s="31">
        <v>0</v>
      </c>
      <c r="H7" s="9"/>
      <c r="I7" s="9"/>
      <c r="J7" s="9"/>
      <c r="K7" s="9"/>
      <c r="L7" s="27"/>
      <c r="N7" t="b">
        <v>0</v>
      </c>
    </row>
    <row r="8" spans="1:17" ht="17.25" customHeight="1">
      <c r="A8" s="9"/>
      <c r="B8" s="3" t="s">
        <v>42</v>
      </c>
      <c r="C8" s="26"/>
      <c r="D8" s="3"/>
      <c r="E8" s="3"/>
      <c r="F8" s="32">
        <v>5.6250000000000001E-2</v>
      </c>
      <c r="G8" s="31">
        <v>180</v>
      </c>
      <c r="H8" s="9"/>
      <c r="I8" s="9"/>
      <c r="J8" s="9"/>
      <c r="K8" s="9"/>
      <c r="L8" s="27"/>
      <c r="N8" t="b">
        <v>0</v>
      </c>
    </row>
    <row r="9" spans="1:17" ht="17.25" customHeight="1">
      <c r="A9" s="9"/>
      <c r="B9" s="3" t="s">
        <v>43</v>
      </c>
      <c r="C9" s="26"/>
      <c r="D9" s="3"/>
      <c r="E9" s="3"/>
      <c r="F9" s="32">
        <v>2.9411764705999999</v>
      </c>
      <c r="G9" s="31">
        <v>3.6</v>
      </c>
      <c r="H9" s="9"/>
      <c r="I9" s="9"/>
      <c r="J9" s="9"/>
      <c r="K9" s="9"/>
      <c r="L9" s="29"/>
      <c r="N9" t="b">
        <v>0</v>
      </c>
    </row>
    <row r="10" spans="1:17" ht="17.25" customHeight="1">
      <c r="A10" s="9"/>
      <c r="B10" s="13" t="s">
        <v>52</v>
      </c>
      <c r="C10" s="26"/>
      <c r="D10" s="3"/>
      <c r="E10" s="13"/>
      <c r="F10" s="32">
        <v>0.02</v>
      </c>
      <c r="G10" s="31">
        <v>48</v>
      </c>
      <c r="H10" s="9"/>
      <c r="I10" s="9"/>
      <c r="J10" s="9"/>
      <c r="K10" s="9"/>
      <c r="L10" s="27"/>
      <c r="N10" t="b">
        <v>1</v>
      </c>
    </row>
    <row r="11" spans="1:17" ht="17.25" customHeight="1">
      <c r="A11" s="9"/>
      <c r="B11" s="13" t="s">
        <v>44</v>
      </c>
      <c r="C11" s="28">
        <v>25</v>
      </c>
      <c r="D11" s="3"/>
      <c r="E11" s="3"/>
      <c r="F11" s="32">
        <f t="shared" ref="F9:F11" si="1">IF(E11&gt;0,E11/1000/C11,IF(E11=0,1/C11,0))</f>
        <v>0.04</v>
      </c>
      <c r="G11" s="31">
        <f t="shared" ref="G9:G11" si="2">IF(E11&gt;0,D11*E11/1000,0)</f>
        <v>0</v>
      </c>
      <c r="H11" s="9"/>
      <c r="I11" s="9"/>
      <c r="J11" s="9"/>
      <c r="K11" s="9"/>
      <c r="L11" s="27"/>
    </row>
    <row r="12" spans="1:17" ht="17.25" customHeight="1">
      <c r="A12" s="9"/>
      <c r="F12" s="30">
        <f>SUM(F6:F11)</f>
        <v>3.1683355614999997</v>
      </c>
      <c r="H12" s="9"/>
      <c r="I12" s="9"/>
      <c r="J12" s="9"/>
      <c r="K12" s="9"/>
      <c r="L12" s="27"/>
    </row>
    <row r="13" spans="1:17" ht="17.25" customHeight="1">
      <c r="A13" s="10"/>
      <c r="H13" s="10"/>
      <c r="I13" s="10"/>
      <c r="J13" s="10"/>
      <c r="K13" s="10"/>
      <c r="L13" s="10"/>
    </row>
  </sheetData>
  <phoneticPr fontId="3"/>
  <conditionalFormatting sqref="B37:G1048576 F7:G11">
    <cfRule type="expression" dxfId="6" priority="449">
      <formula>$E7&lt;0</formula>
    </cfRule>
  </conditionalFormatting>
  <conditionalFormatting sqref="H8:L8 H9:K9">
    <cfRule type="expression" dxfId="5" priority="78">
      <formula>$E7&lt;0</formula>
    </cfRule>
  </conditionalFormatting>
  <conditionalFormatting sqref="H11:L11 H39:L1048576">
    <cfRule type="expression" dxfId="4" priority="75">
      <formula>$E9&lt;0</formula>
    </cfRule>
  </conditionalFormatting>
  <conditionalFormatting sqref="L6">
    <cfRule type="expression" dxfId="3" priority="47">
      <formula>#REF!&lt;0</formula>
    </cfRule>
  </conditionalFormatting>
  <conditionalFormatting sqref="L9">
    <cfRule type="expression" dxfId="2" priority="46">
      <formula>#REF!&lt;0</formula>
    </cfRule>
  </conditionalFormatting>
  <conditionalFormatting sqref="F6:G6">
    <cfRule type="expression" dxfId="1" priority="3">
      <formula>$E6&lt;0</formula>
    </cfRule>
  </conditionalFormatting>
  <conditionalFormatting sqref="H10:K10">
    <cfRule type="expression" dxfId="0" priority="454">
      <formula>#REF!&lt;0</formula>
    </cfRule>
  </conditionalFormatting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7422" r:id="rId4" name="OptionButton4">
          <controlPr defaultSize="0" autoLine="0" autoPict="0" linkedCell="N8" r:id="rId5">
            <anchor moveWithCells="1">
              <from>
                <xdr:col>15</xdr:col>
                <xdr:colOff>323850</xdr:colOff>
                <xdr:row>2</xdr:row>
                <xdr:rowOff>114300</xdr:rowOff>
              </from>
              <to>
                <xdr:col>16</xdr:col>
                <xdr:colOff>361950</xdr:colOff>
                <xdr:row>3</xdr:row>
                <xdr:rowOff>161925</xdr:rowOff>
              </to>
            </anchor>
          </controlPr>
        </control>
      </mc:Choice>
      <mc:Fallback>
        <control shapeId="17422" r:id="rId4" name="OptionButton4"/>
      </mc:Fallback>
    </mc:AlternateContent>
    <mc:AlternateContent xmlns:mc="http://schemas.openxmlformats.org/markup-compatibility/2006">
      <mc:Choice Requires="x14">
        <control shapeId="17421" r:id="rId6" name="OptionButton3">
          <controlPr defaultSize="0" autoLine="0" autoPict="0" linkedCell="N7" r:id="rId7">
            <anchor moveWithCells="1">
              <from>
                <xdr:col>14</xdr:col>
                <xdr:colOff>447675</xdr:colOff>
                <xdr:row>2</xdr:row>
                <xdr:rowOff>104775</xdr:rowOff>
              </from>
              <to>
                <xdr:col>15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7421" r:id="rId6" name="OptionButton3"/>
      </mc:Fallback>
    </mc:AlternateContent>
    <mc:AlternateContent xmlns:mc="http://schemas.openxmlformats.org/markup-compatibility/2006">
      <mc:Choice Requires="x14">
        <control shapeId="17420" r:id="rId8" name="OptionButton2">
          <controlPr defaultSize="0" autoLine="0" autoPict="0" linkedCell="N6" r:id="rId9">
            <anchor moveWithCells="1">
              <from>
                <xdr:col>13</xdr:col>
                <xdr:colOff>628650</xdr:colOff>
                <xdr:row>2</xdr:row>
                <xdr:rowOff>104775</xdr:rowOff>
              </from>
              <to>
                <xdr:col>14</xdr:col>
                <xdr:colOff>400050</xdr:colOff>
                <xdr:row>3</xdr:row>
                <xdr:rowOff>152400</xdr:rowOff>
              </to>
            </anchor>
          </controlPr>
        </control>
      </mc:Choice>
      <mc:Fallback>
        <control shapeId="17420" r:id="rId8" name="OptionButton2"/>
      </mc:Fallback>
    </mc:AlternateContent>
    <mc:AlternateContent xmlns:mc="http://schemas.openxmlformats.org/markup-compatibility/2006">
      <mc:Choice Requires="x14">
        <control shapeId="17419" r:id="rId10" name="OptionButton1">
          <controlPr defaultSize="0" autoLine="0" autoPict="0" linkedCell="N5" r:id="rId11">
            <anchor moveWithCells="1">
              <from>
                <xdr:col>12</xdr:col>
                <xdr:colOff>514350</xdr:colOff>
                <xdr:row>2</xdr:row>
                <xdr:rowOff>104775</xdr:rowOff>
              </from>
              <to>
                <xdr:col>13</xdr:col>
                <xdr:colOff>609600</xdr:colOff>
                <xdr:row>3</xdr:row>
                <xdr:rowOff>152400</xdr:rowOff>
              </to>
            </anchor>
          </controlPr>
        </control>
      </mc:Choice>
      <mc:Fallback>
        <control shapeId="17419" r:id="rId10" name="OptionButton1"/>
      </mc:Fallback>
    </mc:AlternateContent>
    <mc:AlternateContent xmlns:mc="http://schemas.openxmlformats.org/markup-compatibility/2006">
      <mc:Choice Requires="x14">
        <control shapeId="17423" r:id="rId12" name="OptionButton5">
          <controlPr defaultSize="0" autoLine="0" autoPict="0" linkedCell="N9" r:id="rId13">
            <anchor moveWithCells="1">
              <from>
                <xdr:col>16</xdr:col>
                <xdr:colOff>390525</xdr:colOff>
                <xdr:row>2</xdr:row>
                <xdr:rowOff>123825</xdr:rowOff>
              </from>
              <to>
                <xdr:col>17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17423" r:id="rId12" name="OptionButton5"/>
      </mc:Fallback>
    </mc:AlternateContent>
    <mc:AlternateContent xmlns:mc="http://schemas.openxmlformats.org/markup-compatibility/2006">
      <mc:Choice Requires="x14">
        <control shapeId="17424" r:id="rId14" name="OptionButton6">
          <controlPr defaultSize="0" autoLine="0" linkedCell="N10" r:id="rId15">
            <anchor moveWithCells="1">
              <from>
                <xdr:col>17</xdr:col>
                <xdr:colOff>114300</xdr:colOff>
                <xdr:row>2</xdr:row>
                <xdr:rowOff>123825</xdr:rowOff>
              </from>
              <to>
                <xdr:col>17</xdr:col>
                <xdr:colOff>495300</xdr:colOff>
                <xdr:row>3</xdr:row>
                <xdr:rowOff>161925</xdr:rowOff>
              </to>
            </anchor>
          </controlPr>
        </control>
      </mc:Choice>
      <mc:Fallback>
        <control shapeId="17424" r:id="rId14" name="Option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20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" sqref="D3"/>
    </sheetView>
  </sheetViews>
  <sheetFormatPr defaultRowHeight="11.25"/>
  <cols>
    <col min="1" max="1" width="8.6640625" customWidth="1"/>
    <col min="2" max="9" width="9.83203125" style="2" customWidth="1"/>
    <col min="15" max="161" width="9.83203125" customWidth="1"/>
  </cols>
  <sheetData>
    <row r="1" spans="1:14">
      <c r="B1" s="4" t="s">
        <v>50</v>
      </c>
      <c r="C1" s="4"/>
      <c r="D1" s="4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ht="33.75">
      <c r="B2" s="14" t="s">
        <v>26</v>
      </c>
      <c r="C2" s="14" t="s">
        <v>27</v>
      </c>
      <c r="D2" s="14" t="s">
        <v>28</v>
      </c>
      <c r="E2" s="14" t="s">
        <v>29</v>
      </c>
      <c r="F2" s="14" t="s">
        <v>45</v>
      </c>
      <c r="G2" s="14" t="s">
        <v>46</v>
      </c>
      <c r="H2" s="14" t="s">
        <v>30</v>
      </c>
      <c r="I2" s="14" t="s">
        <v>31</v>
      </c>
      <c r="J2" s="14" t="s">
        <v>32</v>
      </c>
      <c r="K2" s="14" t="s">
        <v>33</v>
      </c>
      <c r="L2" s="14" t="s">
        <v>47</v>
      </c>
      <c r="M2" s="14" t="s">
        <v>48</v>
      </c>
      <c r="N2" s="14" t="s">
        <v>49</v>
      </c>
    </row>
    <row r="3" spans="1:14">
      <c r="A3">
        <v>1</v>
      </c>
      <c r="B3" s="2">
        <v>-2.9403963221596996E-4</v>
      </c>
      <c r="C3" s="2">
        <v>1.1066437402446283E-2</v>
      </c>
      <c r="D3" s="2">
        <v>6.8126652578788904E-5</v>
      </c>
      <c r="E3" s="2">
        <v>5.9376795305769392E-2</v>
      </c>
      <c r="F3" s="2">
        <v>9.5735855590191932E-2</v>
      </c>
      <c r="G3" s="2">
        <v>0.40651336312294006</v>
      </c>
      <c r="H3" s="2">
        <v>3.1709791983764586E-8</v>
      </c>
      <c r="I3" s="2">
        <v>0.99997146159444261</v>
      </c>
      <c r="J3">
        <v>-2.7321096874516932E-6</v>
      </c>
      <c r="K3">
        <v>-1.1601077680038371E-5</v>
      </c>
      <c r="L3">
        <v>1.733543572712238E-8</v>
      </c>
      <c r="M3">
        <v>0.99010050051919851</v>
      </c>
      <c r="N3">
        <v>3.1385181790186398</v>
      </c>
    </row>
    <row r="4" spans="1:14">
      <c r="A4">
        <v>2</v>
      </c>
      <c r="B4" s="2">
        <v>1.5702671765781162E-4</v>
      </c>
      <c r="C4" s="2">
        <v>9.1359002229936065E-2</v>
      </c>
      <c r="D4" s="2">
        <v>-2.0155338838568249E-5</v>
      </c>
      <c r="E4" s="2">
        <v>4.7076368692171557E-2</v>
      </c>
      <c r="F4" s="2">
        <v>-0.26976647115770902</v>
      </c>
      <c r="G4" s="2">
        <v>-1.095164068381564</v>
      </c>
      <c r="H4" s="2">
        <v>1.0609884469193709E-7</v>
      </c>
      <c r="I4" s="2">
        <v>0.99990451559870286</v>
      </c>
      <c r="J4">
        <v>2.5757260201980836E-5</v>
      </c>
      <c r="K4">
        <v>1.0456609285841479E-4</v>
      </c>
      <c r="L4">
        <v>3.1709791983764586E-8</v>
      </c>
      <c r="M4">
        <v>0.98203769084311832</v>
      </c>
      <c r="N4">
        <v>3.1142328636363308</v>
      </c>
    </row>
    <row r="5" spans="1:14">
      <c r="A5">
        <v>3</v>
      </c>
      <c r="B5" s="2">
        <v>-6.7706380952439291E-5</v>
      </c>
      <c r="C5" s="2">
        <v>0.11751773858100281</v>
      </c>
      <c r="D5" s="2">
        <v>-1.7919285706088271E-4</v>
      </c>
      <c r="E5" s="2">
        <v>1.7747867439566647E-2</v>
      </c>
      <c r="F5" s="2">
        <v>0.41080423527273524</v>
      </c>
      <c r="G5" s="2">
        <v>1.5276047525658214</v>
      </c>
      <c r="H5" s="2">
        <v>3.5499964335077801E-7</v>
      </c>
      <c r="I5" s="2">
        <v>0.99968055135557143</v>
      </c>
      <c r="J5">
        <v>-1.3120989420768346E-4</v>
      </c>
      <c r="K5">
        <v>-4.8791331920481474E-4</v>
      </c>
      <c r="L5">
        <v>5.8003209349992615E-8</v>
      </c>
      <c r="M5">
        <v>0.96762025964756615</v>
      </c>
      <c r="N5">
        <v>3.0708071866243354</v>
      </c>
    </row>
    <row r="6" spans="1:14">
      <c r="A6">
        <v>4</v>
      </c>
      <c r="B6" s="2">
        <v>-1.534955270442612E-4</v>
      </c>
      <c r="C6" s="2">
        <v>0.12974510910685691</v>
      </c>
      <c r="D6" s="2">
        <v>4.3463410717643849E-5</v>
      </c>
      <c r="E6" s="2">
        <v>9.7312176749928762E-3</v>
      </c>
      <c r="F6" s="2">
        <v>-1.0261546162346349</v>
      </c>
      <c r="G6" s="2">
        <v>-3.292290067378417</v>
      </c>
      <c r="H6" s="2">
        <v>1.1878050806782888E-6</v>
      </c>
      <c r="I6" s="2">
        <v>0.99893154663059636</v>
      </c>
      <c r="J6">
        <v>1.0958125276264356E-3</v>
      </c>
      <c r="K6">
        <v>3.5157788537282446E-3</v>
      </c>
      <c r="L6">
        <v>1.0609884469193709E-7</v>
      </c>
      <c r="M6">
        <v>0.94230262839265411</v>
      </c>
      <c r="N6">
        <v>2.9945493773834366</v>
      </c>
    </row>
    <row r="7" spans="1:14">
      <c r="A7">
        <v>5</v>
      </c>
      <c r="B7" s="2">
        <v>2.1337868707198125E-5</v>
      </c>
      <c r="C7" s="2">
        <v>0.13771746330628284</v>
      </c>
      <c r="D7" s="2">
        <v>2.9934030604507756E-4</v>
      </c>
      <c r="E7" s="2">
        <v>7.0356949002978071E-3</v>
      </c>
      <c r="F7" s="2">
        <v>-0.26745687235370497</v>
      </c>
      <c r="G7" s="2">
        <v>-0.68636005062671757</v>
      </c>
      <c r="H7" s="2">
        <v>3.9743164144282072E-6</v>
      </c>
      <c r="I7" s="2">
        <v>0.99642950465899671</v>
      </c>
      <c r="J7">
        <v>9.5324767178816573E-4</v>
      </c>
      <c r="K7">
        <v>2.446267745938003E-3</v>
      </c>
      <c r="L7">
        <v>1.9407486191046809E-7</v>
      </c>
      <c r="M7">
        <v>0.89922639715309882</v>
      </c>
      <c r="N7">
        <v>2.8648004640564255</v>
      </c>
    </row>
    <row r="8" spans="1:14">
      <c r="A8">
        <v>6</v>
      </c>
      <c r="B8" s="2">
        <v>4.3920367197525109E-4</v>
      </c>
      <c r="C8" s="2">
        <v>0.14403912209902051</v>
      </c>
      <c r="D8" s="2">
        <v>5.2352951669157983E-4</v>
      </c>
      <c r="E8" s="2">
        <v>5.883576227539245E-3</v>
      </c>
      <c r="F8" s="2">
        <v>6.2269674103617945E-2</v>
      </c>
      <c r="G8" s="2">
        <v>0.11824371417515067</v>
      </c>
      <c r="H8" s="2">
        <v>1.3297797104027989E-5</v>
      </c>
      <c r="I8" s="2">
        <v>0.98810331447594135</v>
      </c>
      <c r="J8">
        <v>-7.3638739234900433E-4</v>
      </c>
      <c r="K8">
        <v>-1.3983240091831658E-3</v>
      </c>
      <c r="L8">
        <v>3.5499964335077801E-7</v>
      </c>
      <c r="M8">
        <v>0.82973044916265382</v>
      </c>
      <c r="N8">
        <v>2.6554689306783694</v>
      </c>
    </row>
    <row r="9" spans="1:14">
      <c r="A9">
        <v>7</v>
      </c>
      <c r="B9" s="2">
        <v>1.062083739240918E-3</v>
      </c>
      <c r="C9" s="2">
        <v>0.14957064349154497</v>
      </c>
      <c r="D9" s="2">
        <v>7.1052650892616982E-4</v>
      </c>
      <c r="E9" s="2">
        <v>5.2986969109093179E-3</v>
      </c>
      <c r="F9" s="2">
        <v>-2.7566768048245649E-2</v>
      </c>
      <c r="G9" s="2">
        <v>-3.6785380581022764E-2</v>
      </c>
      <c r="H9" s="2">
        <v>4.4493540367831091E-5</v>
      </c>
      <c r="I9" s="2">
        <v>0.96074698633002154</v>
      </c>
      <c r="J9">
        <v>1.0606995621321854E-3</v>
      </c>
      <c r="K9">
        <v>1.4154084732337627E-3</v>
      </c>
      <c r="L9">
        <v>6.4936151719287664E-7</v>
      </c>
      <c r="M9">
        <v>0.72668999188263717</v>
      </c>
      <c r="N9">
        <v>2.3450837131454816</v>
      </c>
    </row>
    <row r="10" spans="1:14">
      <c r="A10">
        <v>8</v>
      </c>
      <c r="B10" s="2">
        <v>1.8549241169443288E-3</v>
      </c>
      <c r="C10" s="2">
        <v>0.154678270091679</v>
      </c>
      <c r="D10" s="2">
        <v>8.6551269728263899E-4</v>
      </c>
      <c r="E10" s="2">
        <v>4.9787560616231033E-3</v>
      </c>
      <c r="F10" s="2">
        <v>2.2162967766291786E-2</v>
      </c>
      <c r="G10" s="2">
        <v>2.0321205739833204E-2</v>
      </c>
      <c r="H10" s="2">
        <v>1.4887241239860385E-4</v>
      </c>
      <c r="I10" s="2">
        <v>0.87460303385672589</v>
      </c>
      <c r="J10">
        <v>-2.6010292615311725E-3</v>
      </c>
      <c r="K10">
        <v>-2.3848814525323399E-3</v>
      </c>
      <c r="L10">
        <v>1.1878050806782888E-6</v>
      </c>
      <c r="M10">
        <v>0.59156809666889554</v>
      </c>
      <c r="N10">
        <v>1.9380254418203733</v>
      </c>
    </row>
    <row r="11" spans="1:14">
      <c r="A11">
        <v>9</v>
      </c>
      <c r="B11" s="2">
        <v>2.7887669617412485E-3</v>
      </c>
      <c r="C11" s="2">
        <v>0.15955130896184885</v>
      </c>
      <c r="D11" s="2">
        <v>9.9432725013327145E-4</v>
      </c>
      <c r="E11" s="2">
        <v>4.8028718468970466E-3</v>
      </c>
      <c r="F11" s="2">
        <v>1.6738682878241207E-3</v>
      </c>
      <c r="G11" s="2">
        <v>-3.7276048356773117E-2</v>
      </c>
      <c r="H11" s="2">
        <v>4.9811714217742637E-4</v>
      </c>
      <c r="I11" s="2">
        <v>0.63870957447531362</v>
      </c>
      <c r="J11">
        <v>-4.8737156746094472E-4</v>
      </c>
      <c r="K11">
        <v>1.0853474104588203E-2</v>
      </c>
      <c r="L11">
        <v>2.1727202372327977E-6</v>
      </c>
      <c r="M11">
        <v>0.44030034594592637</v>
      </c>
      <c r="N11">
        <v>1.4822393648433336</v>
      </c>
    </row>
    <row r="12" spans="1:14">
      <c r="A12">
        <v>10</v>
      </c>
      <c r="B12" s="2">
        <v>3.8400357865634276E-3</v>
      </c>
      <c r="C12" s="2">
        <v>0.16429752339156539</v>
      </c>
      <c r="D12" s="2">
        <v>1.1017782496967044E-3</v>
      </c>
      <c r="E12" s="2">
        <v>4.7104120394299547E-3</v>
      </c>
      <c r="F12" s="2">
        <v>-1.9959128585824715E-3</v>
      </c>
      <c r="G12" s="2">
        <v>-8.2076544376803895E-2</v>
      </c>
      <c r="H12" s="2">
        <v>1.6666666666666668E-3</v>
      </c>
      <c r="I12" s="2">
        <v>0.22313016014842982</v>
      </c>
      <c r="J12">
        <v>8.0305786464892096E-4</v>
      </c>
      <c r="K12">
        <v>3.3023593280425291E-2</v>
      </c>
      <c r="L12">
        <v>3.9743164144282072E-6</v>
      </c>
      <c r="M12">
        <v>0.29823314041460819</v>
      </c>
      <c r="N12">
        <v>1.0539751905778176</v>
      </c>
    </row>
    <row r="13" spans="1:14">
      <c r="A13">
        <v>11</v>
      </c>
      <c r="B13" s="2">
        <v>4.9894029985100658E-3</v>
      </c>
      <c r="C13" s="2">
        <v>0.16898004974684327</v>
      </c>
      <c r="D13" s="2">
        <v>1.1916258129720061E-3</v>
      </c>
      <c r="E13" s="2">
        <v>4.6667549866635386E-3</v>
      </c>
      <c r="L13">
        <v>7.2697767026418568E-6</v>
      </c>
      <c r="M13">
        <v>0.18522869499846403</v>
      </c>
      <c r="N13">
        <v>0.71290137247930407</v>
      </c>
    </row>
    <row r="14" spans="1:14">
      <c r="A14">
        <v>12</v>
      </c>
      <c r="B14" s="2">
        <v>6.2208544874421236E-3</v>
      </c>
      <c r="C14" s="2">
        <v>0.17363556311554168</v>
      </c>
      <c r="D14" s="2">
        <v>1.2668165009237936E-3</v>
      </c>
      <c r="E14" s="2">
        <v>4.6510571372835475E-3</v>
      </c>
      <c r="L14">
        <v>1.3297797104027989E-5</v>
      </c>
      <c r="M14">
        <v>0.1067199289125184</v>
      </c>
      <c r="N14">
        <v>0.47512132735256574</v>
      </c>
    </row>
    <row r="15" spans="1:14">
      <c r="A15">
        <v>13</v>
      </c>
      <c r="B15" s="2">
        <v>7.5209912984814933E-3</v>
      </c>
      <c r="C15" s="2">
        <v>0.17828462307251272</v>
      </c>
      <c r="D15" s="2">
        <v>1.3296949788434338E-3</v>
      </c>
      <c r="E15" s="2">
        <v>4.6505968200448314E-3</v>
      </c>
      <c r="L15">
        <v>2.4324186980273292E-5</v>
      </c>
      <c r="M15">
        <v>5.7318969605858548E-2</v>
      </c>
      <c r="N15">
        <v>0.3239783181343151</v>
      </c>
    </row>
    <row r="16" spans="1:14">
      <c r="A16">
        <v>14</v>
      </c>
      <c r="B16" s="2">
        <v>8.8785143071989005E-3</v>
      </c>
      <c r="C16" s="2">
        <v>0.18293795848352257</v>
      </c>
      <c r="D16" s="2">
        <v>1.3821593498823128E-3</v>
      </c>
      <c r="E16" s="2">
        <v>4.6576485927933954E-3</v>
      </c>
      <c r="L16">
        <v>4.4493540367831091E-5</v>
      </c>
      <c r="M16">
        <v>2.8402130193082322E-2</v>
      </c>
      <c r="N16">
        <v>0.23283734902150738</v>
      </c>
    </row>
    <row r="17" spans="1:14">
      <c r="A17">
        <v>15</v>
      </c>
      <c r="B17" s="2">
        <v>1.0283838733809976E-2</v>
      </c>
      <c r="C17" s="2">
        <v>0.18760037227384563</v>
      </c>
      <c r="D17" s="2">
        <v>1.4257703913910782E-3</v>
      </c>
      <c r="E17" s="2">
        <v>4.667600592194566E-3</v>
      </c>
      <c r="L17">
        <v>8.1387103958266486E-5</v>
      </c>
      <c r="M17">
        <v>1.256556124618681E-2</v>
      </c>
      <c r="N17">
        <v>0.17851715318443839</v>
      </c>
    </row>
    <row r="18" spans="1:14">
      <c r="A18">
        <v>16</v>
      </c>
      <c r="B18" s="2">
        <v>1.1728799642726648E-2</v>
      </c>
      <c r="C18" s="2">
        <v>0.19227317846610695</v>
      </c>
      <c r="D18" s="2">
        <v>1.4618283954509058E-3</v>
      </c>
      <c r="E18" s="2">
        <v>4.6777818689045739E-3</v>
      </c>
      <c r="L18">
        <v>1.4887241239860385E-4</v>
      </c>
      <c r="M18">
        <v>4.6639227215553363E-3</v>
      </c>
      <c r="N18">
        <v>0.1446496325678166</v>
      </c>
    </row>
    <row r="19" spans="1:14">
      <c r="A19">
        <v>17</v>
      </c>
      <c r="B19" s="2">
        <v>1.3206421869180012E-2</v>
      </c>
      <c r="C19" s="2">
        <v>0.19695571759484801</v>
      </c>
      <c r="D19" s="2">
        <v>1.4914280513105061E-3</v>
      </c>
      <c r="E19" s="2">
        <v>4.6867239128320489E-3</v>
      </c>
      <c r="L19">
        <v>2.7231581043533226E-4</v>
      </c>
      <c r="M19">
        <v>1.3168581564050224E-3</v>
      </c>
      <c r="N19">
        <v>0.12071426432283822</v>
      </c>
    </row>
    <row r="20" spans="1:14">
      <c r="A20">
        <v>18</v>
      </c>
      <c r="B20" s="2">
        <v>1.4710736453338293E-2</v>
      </c>
      <c r="C20" s="2">
        <v>0.20164629061717038</v>
      </c>
      <c r="D20" s="2">
        <v>1.5154984889656511E-3</v>
      </c>
      <c r="E20" s="2">
        <v>4.6936947098721593E-3</v>
      </c>
      <c r="L20">
        <v>4.9811714217742637E-4</v>
      </c>
      <c r="M20">
        <v>2.4718762170358548E-4</v>
      </c>
      <c r="N20">
        <v>0.10050554196985756</v>
      </c>
    </row>
    <row r="21" spans="1:14">
      <c r="A21">
        <v>19</v>
      </c>
      <c r="B21" s="2">
        <v>1.6236631426525643E-2</v>
      </c>
      <c r="C21" s="2">
        <v>0.20634272616409416</v>
      </c>
      <c r="D21" s="2">
        <v>1.5348331986812153E-3</v>
      </c>
      <c r="E21" s="2">
        <v>4.6984053725106466E-3</v>
      </c>
      <c r="L21">
        <v>9.1115050181755236E-4</v>
      </c>
      <c r="M21">
        <v>2.6109181004694828E-5</v>
      </c>
      <c r="N21">
        <v>8.121045297003357E-2</v>
      </c>
    </row>
    <row r="22" spans="1:14">
      <c r="A22">
        <v>20</v>
      </c>
      <c r="B22" s="2">
        <v>1.7779728593107759E-2</v>
      </c>
      <c r="C22" s="2">
        <v>0.21104271742414504</v>
      </c>
      <c r="D22" s="2">
        <v>1.5501129335851595E-3</v>
      </c>
      <c r="E22" s="2">
        <v>4.7008262891719442E-3</v>
      </c>
      <c r="L22">
        <v>1.6666666666666668E-3</v>
      </c>
      <c r="M22">
        <v>1.2752526678236341E-6</v>
      </c>
      <c r="N22">
        <v>6.270971997194151E-2</v>
      </c>
    </row>
    <row r="23" spans="1:14">
      <c r="A23">
        <v>21</v>
      </c>
      <c r="B23" s="2">
        <v>1.9336280458738312E-2</v>
      </c>
      <c r="C23" s="2">
        <v>0.21574401515402619</v>
      </c>
      <c r="D23" s="2">
        <v>1.5619236522623192E-3</v>
      </c>
      <c r="E23" s="2">
        <v>4.7010727411557068E-3</v>
      </c>
    </row>
    <row r="24" spans="1:14">
      <c r="A24">
        <v>22</v>
      </c>
      <c r="B24" s="2">
        <v>2.0903083122654091E-2</v>
      </c>
      <c r="C24" s="2">
        <v>0.22044453163323041</v>
      </c>
      <c r="D24" s="2">
        <v>1.5707708758894211E-3</v>
      </c>
      <c r="E24" s="2">
        <v>4.6993344967048078E-3</v>
      </c>
    </row>
    <row r="25" spans="1:14">
      <c r="A25">
        <v>23</v>
      </c>
      <c r="B25" s="2">
        <v>2.2477402072784716E-2</v>
      </c>
      <c r="C25" s="2">
        <v>0.22514239021303933</v>
      </c>
      <c r="D25" s="2">
        <v>1.5770913904185047E-3</v>
      </c>
      <c r="E25" s="2">
        <v>4.6958331571863177E-3</v>
      </c>
    </row>
    <row r="26" spans="1:14">
      <c r="A26">
        <v>24</v>
      </c>
      <c r="B26" s="2">
        <v>2.405690858750513E-2</v>
      </c>
      <c r="C26" s="2">
        <v>0.22983594227826493</v>
      </c>
      <c r="D26" s="2">
        <v>1.5812629339856566E-3</v>
      </c>
      <c r="E26" s="2">
        <v>4.6907969360793752E-3</v>
      </c>
    </row>
    <row r="27" spans="1:14">
      <c r="A27">
        <v>25</v>
      </c>
      <c r="B27" s="2">
        <v>2.5639624979348359E-2</v>
      </c>
      <c r="C27" s="2">
        <v>0.23452376528401847</v>
      </c>
      <c r="D27" s="2">
        <v>1.5836123185048276E-3</v>
      </c>
      <c r="E27" s="2">
        <v>4.6844463168493429E-3</v>
      </c>
    </row>
    <row r="28" spans="1:14">
      <c r="A28">
        <v>26</v>
      </c>
      <c r="B28" s="2">
        <v>2.7223877292905152E-2</v>
      </c>
      <c r="C28" s="2">
        <v>0.23920465035499747</v>
      </c>
      <c r="D28" s="2">
        <v>1.5844223072407077E-3</v>
      </c>
      <c r="E28" s="2">
        <v>4.6769864358594902E-3</v>
      </c>
    </row>
    <row r="29" spans="1:14">
      <c r="A29">
        <v>27</v>
      </c>
      <c r="B29" s="2">
        <v>2.8808254342606442E-2</v>
      </c>
      <c r="C29" s="2">
        <v>0.2438775846595824</v>
      </c>
      <c r="D29" s="2">
        <v>1.5839374845352035E-3</v>
      </c>
      <c r="E29" s="2">
        <v>4.6686035653214168E-3</v>
      </c>
    </row>
    <row r="30" spans="1:14">
      <c r="A30">
        <v>28</v>
      </c>
      <c r="B30" s="2">
        <v>3.0391572179393044E-2</v>
      </c>
      <c r="C30" s="2">
        <v>0.24854173170542668</v>
      </c>
      <c r="D30" s="2">
        <v>1.5823692953312758E-3</v>
      </c>
      <c r="E30" s="2">
        <v>4.6594640442367405E-3</v>
      </c>
    </row>
    <row r="31" spans="1:14">
      <c r="A31">
        <v>29</v>
      </c>
      <c r="B31" s="2">
        <v>3.1972843230170842E-2</v>
      </c>
      <c r="C31" s="2">
        <v>0.25319641140681065</v>
      </c>
      <c r="D31" s="2">
        <v>1.5799003913913924E-3</v>
      </c>
      <c r="E31" s="2">
        <v>4.6497146236299134E-3</v>
      </c>
    </row>
    <row r="32" spans="1:14">
      <c r="A32">
        <v>30</v>
      </c>
      <c r="B32" s="2">
        <v>3.3551249474777854E-2</v>
      </c>
      <c r="C32" s="2">
        <v>0.25784108096612501</v>
      </c>
      <c r="D32" s="2">
        <v>1.5766883921420169E-3</v>
      </c>
      <c r="E32" s="2">
        <v>4.6394835846198584E-3</v>
      </c>
    </row>
    <row r="33" spans="1:5">
      <c r="A33">
        <v>31</v>
      </c>
      <c r="B33" s="2">
        <v>3.5126119121517412E-2</v>
      </c>
      <c r="C33" s="2">
        <v>0.26247531711330852</v>
      </c>
      <c r="D33" s="2">
        <v>1.5728691470030891E-3</v>
      </c>
      <c r="E33" s="2">
        <v>4.6288822360526548E-3</v>
      </c>
    </row>
    <row r="34" spans="1:5">
      <c r="A34">
        <v>32</v>
      </c>
      <c r="B34" s="2">
        <v>3.6696906320581715E-2</v>
      </c>
      <c r="C34" s="2">
        <v>0.26709879994406205</v>
      </c>
      <c r="D34" s="2">
        <v>1.56855957035302E-3</v>
      </c>
      <c r="E34" s="2">
        <v>4.6180065548669779E-3</v>
      </c>
    </row>
    <row r="35" spans="1:5">
      <c r="A35">
        <v>33</v>
      </c>
      <c r="B35" s="2">
        <v>3.8263173519330583E-2</v>
      </c>
      <c r="C35" s="2">
        <v>0.27171129841750807</v>
      </c>
      <c r="D35" s="2">
        <v>1.5638601082795499E-3</v>
      </c>
      <c r="E35" s="2">
        <v>4.6069388304865351E-3</v>
      </c>
    </row>
    <row r="36" spans="1:5">
      <c r="A36">
        <v>34</v>
      </c>
      <c r="B36" s="2">
        <v>3.9824576117481518E-2</v>
      </c>
      <c r="C36" s="2">
        <v>0.27631265747062872</v>
      </c>
      <c r="D36" s="2">
        <v>1.5588568868818086E-3</v>
      </c>
      <c r="E36" s="2">
        <v>4.5957492356283975E-3</v>
      </c>
    </row>
    <row r="37" spans="1:5">
      <c r="A37">
        <v>35</v>
      </c>
      <c r="B37" s="2">
        <v>4.1380849126012337E-2</v>
      </c>
      <c r="C37" s="2">
        <v>0.28090278665112106</v>
      </c>
      <c r="D37" s="2">
        <v>1.5536235843901102E-3</v>
      </c>
      <c r="E37" s="2">
        <v>4.5844972835587198E-3</v>
      </c>
    </row>
    <row r="38" spans="1:5">
      <c r="A38">
        <v>36</v>
      </c>
      <c r="B38" s="2">
        <v>4.2931795572600254E-2</v>
      </c>
      <c r="C38" s="2">
        <v>0.2854816501436398</v>
      </c>
      <c r="D38" s="2">
        <v>1.5482230632645774E-3</v>
      </c>
      <c r="E38" s="2">
        <v>4.5732331546638055E-3</v>
      </c>
    </row>
    <row r="39" spans="1:5">
      <c r="A39">
        <v>37</v>
      </c>
      <c r="B39" s="2">
        <v>4.4477276429895574E-2</v>
      </c>
      <c r="C39" s="2">
        <v>0.29004925805529264</v>
      </c>
      <c r="D39" s="2">
        <v>1.5427087933833682E-3</v>
      </c>
      <c r="E39" s="2">
        <v>4.5619988887354804E-3</v>
      </c>
    </row>
    <row r="40" spans="1:5">
      <c r="A40">
        <v>38</v>
      </c>
      <c r="B40" s="2">
        <v>4.601720187180415E-2</v>
      </c>
      <c r="C40" s="2">
        <v>0.29460565882719575</v>
      </c>
      <c r="D40" s="2">
        <v>1.5371260931991593E-3</v>
      </c>
      <c r="E40" s="2">
        <v>4.5508294470896831E-3</v>
      </c>
    </row>
    <row r="41" spans="1:5">
      <c r="A41">
        <v>39</v>
      </c>
      <c r="B41" s="2">
        <v>4.7551523687948696E-2</v>
      </c>
      <c r="C41" s="2">
        <v>0.29915093264561388</v>
      </c>
      <c r="D41" s="2">
        <v>1.5315132121593122E-3</v>
      </c>
      <c r="E41" s="2">
        <v>4.5397536527611365E-3</v>
      </c>
    </row>
    <row r="42" spans="1:5">
      <c r="A42">
        <v>40</v>
      </c>
      <c r="B42" s="2">
        <v>4.908022870815755E-2</v>
      </c>
      <c r="C42" s="2">
        <v>0.30368518573562758</v>
      </c>
      <c r="D42" s="2">
        <v>1.5259022746267666E-3</v>
      </c>
      <c r="E42" s="2">
        <v>4.5287950189455972E-3</v>
      </c>
    </row>
    <row r="43" spans="1:5">
      <c r="A43">
        <v>41</v>
      </c>
      <c r="B43" s="2">
        <v>5.0603333107695658E-2</v>
      </c>
      <c r="C43" s="2">
        <v>0.30820854543095799</v>
      </c>
      <c r="D43" s="2">
        <v>1.5203201029121557E-3</v>
      </c>
      <c r="E43" s="2">
        <v>4.5179724764759076E-3</v>
      </c>
    </row>
    <row r="44" spans="1:5">
      <c r="A44">
        <v>42</v>
      </c>
      <c r="B44" s="2">
        <v>5.2120877480371676E-2</v>
      </c>
      <c r="C44" s="2">
        <v>0.31272115592437627</v>
      </c>
      <c r="D44" s="2">
        <v>1.5147889347613237E-3</v>
      </c>
      <c r="E44" s="2">
        <v>4.5073010109712916E-3</v>
      </c>
    </row>
    <row r="45" spans="1:5">
      <c r="A45">
        <v>43</v>
      </c>
      <c r="B45" s="2">
        <v>5.3632922580969432E-2</v>
      </c>
      <c r="C45" s="2">
        <v>0.31722317461350197</v>
      </c>
      <c r="D45" s="2">
        <v>1.5093270486800951E-3</v>
      </c>
      <c r="E45" s="2">
        <v>4.4967922197336526E-3</v>
      </c>
    </row>
    <row r="46" spans="1:5">
      <c r="A46">
        <v>44</v>
      </c>
      <c r="B46" s="2">
        <v>5.5139545650946226E-2</v>
      </c>
      <c r="C46" s="2">
        <v>0.32171476896656004</v>
      </c>
      <c r="D46" s="2">
        <v>1.5039493087745785E-3</v>
      </c>
      <c r="E46" s="2">
        <v>4.486454797690863E-3</v>
      </c>
    </row>
    <row r="47" spans="1:5">
      <c r="A47">
        <v>45</v>
      </c>
      <c r="B47" s="2">
        <v>5.6640837252241484E-2</v>
      </c>
      <c r="C47" s="2">
        <v>0.32619611384147351</v>
      </c>
      <c r="D47" s="2">
        <v>1.4986676393034467E-3</v>
      </c>
      <c r="E47" s="2">
        <v>4.4762949608318763E-3</v>
      </c>
    </row>
    <row r="48" spans="1:5">
      <c r="A48">
        <v>46</v>
      </c>
      <c r="B48" s="2">
        <v>5.813689854356275E-2</v>
      </c>
      <c r="C48" s="2">
        <v>0.33066738919974831</v>
      </c>
      <c r="D48" s="2">
        <v>1.49349143784792E-3</v>
      </c>
      <c r="E48" s="2">
        <v>4.4663168147169264E-3</v>
      </c>
    </row>
    <row r="49" spans="1:5">
      <c r="A49">
        <v>47</v>
      </c>
      <c r="B49" s="2">
        <v>5.9627838941827008E-2</v>
      </c>
      <c r="C49" s="2">
        <v>0.33512877816372022</v>
      </c>
      <c r="D49" s="2">
        <v>1.4884279348796315E-3</v>
      </c>
      <c r="E49" s="2">
        <v>4.4565226748198589E-3</v>
      </c>
    </row>
    <row r="50" spans="1:5">
      <c r="A50">
        <v>48</v>
      </c>
      <c r="B50" s="2">
        <v>6.1113774118713229E-2</v>
      </c>
      <c r="C50" s="2">
        <v>0.33958046537211645</v>
      </c>
      <c r="D50" s="2">
        <v>1.4834825065244243E-3</v>
      </c>
      <c r="E50" s="2">
        <v>4.4469133446906478E-3</v>
      </c>
    </row>
    <row r="51" spans="1:5">
      <c r="A51">
        <v>49</v>
      </c>
      <c r="B51" s="2">
        <v>6.2594824288620871E-2</v>
      </c>
      <c r="C51" s="2">
        <v>0.3440226355945048</v>
      </c>
      <c r="D51" s="2">
        <v>1.4786589464625402E-3</v>
      </c>
      <c r="E51" s="2">
        <v>4.4374883572241564E-3</v>
      </c>
    </row>
    <row r="52" spans="1:5">
      <c r="A52">
        <v>50</v>
      </c>
      <c r="B52" s="2">
        <v>6.4071112749885209E-2</v>
      </c>
      <c r="C52" s="2">
        <v>0.34845547257017279</v>
      </c>
      <c r="D52" s="2">
        <v>1.4739597021566101E-3</v>
      </c>
      <c r="E52" s="2">
        <v>4.4282461836883105E-3</v>
      </c>
    </row>
    <row r="53" spans="1:5">
      <c r="A53">
        <v>51</v>
      </c>
      <c r="B53" s="2">
        <v>6.554276464594648E-2</v>
      </c>
      <c r="C53" s="2">
        <v>0.35287915804131187</v>
      </c>
      <c r="D53" s="2">
        <v>1.4693860799443739E-3</v>
      </c>
      <c r="E53" s="2">
        <v>4.4191844145993753E-3</v>
      </c>
    </row>
    <row r="54" spans="1:5">
      <c r="A54">
        <v>52</v>
      </c>
      <c r="B54" s="2">
        <v>6.7009905917412446E-2</v>
      </c>
      <c r="C54" s="2">
        <v>0.35729387095423937</v>
      </c>
      <c r="D54" s="2">
        <v>1.4649384229610651E-3</v>
      </c>
      <c r="E54" s="2">
        <v>4.4102999160299371E-3</v>
      </c>
    </row>
    <row r="55" spans="1:5">
      <c r="A55">
        <v>53</v>
      </c>
      <c r="B55" s="2">
        <v>6.8472662419646238E-2</v>
      </c>
      <c r="C55" s="2">
        <v>0.3616997868057264</v>
      </c>
      <c r="D55" s="2">
        <v>1.4606162653564964E-3</v>
      </c>
      <c r="E55" s="2">
        <v>4.4015889644910666E-3</v>
      </c>
    </row>
    <row r="56" spans="1:5">
      <c r="A56">
        <v>54</v>
      </c>
      <c r="B56" s="2">
        <v>6.9931159183767092E-2</v>
      </c>
      <c r="C56" s="2">
        <v>0.36609707711444117</v>
      </c>
      <c r="D56" s="2">
        <v>1.4564184658348613E-3</v>
      </c>
      <c r="E56" s="2">
        <v>4.3930473631389032E-3</v>
      </c>
    </row>
    <row r="57" spans="1:5">
      <c r="A57">
        <v>55</v>
      </c>
      <c r="B57" s="2">
        <v>7.1385519801760763E-2</v>
      </c>
      <c r="C57" s="2">
        <v>0.37048590900008899</v>
      </c>
      <c r="D57" s="2">
        <v>1.4523433231632315E-3</v>
      </c>
      <c r="E57" s="2">
        <v>4.3846705417116098E-3</v>
      </c>
    </row>
    <row r="58" spans="1:5">
      <c r="A58">
        <v>56</v>
      </c>
      <c r="B58" s="2">
        <v>7.2835865918877821E-2</v>
      </c>
      <c r="C58" s="2">
        <v>0.37486644485507858</v>
      </c>
      <c r="D58" s="2">
        <v>1.448388675960777E-3</v>
      </c>
      <c r="E58" s="2">
        <v>4.3764536423005372E-3</v>
      </c>
    </row>
    <row r="59" spans="1:5">
      <c r="A59">
        <v>57</v>
      </c>
      <c r="B59" s="2">
        <v>7.4282316818660765E-2</v>
      </c>
      <c r="C59" s="2">
        <v>0.3792388420955094</v>
      </c>
      <c r="D59" s="2">
        <v>1.4445519887887278E-3</v>
      </c>
      <c r="E59" s="2">
        <v>4.3683915927943233E-3</v>
      </c>
    </row>
    <row r="60" spans="1:5">
      <c r="A60">
        <v>58</v>
      </c>
      <c r="B60" s="2">
        <v>7.5724989087817274E-2</v>
      </c>
      <c r="C60" s="2">
        <v>0.38360325298000014</v>
      </c>
      <c r="D60" s="2">
        <v>1.4408304263058491E-3</v>
      </c>
      <c r="E60" s="2">
        <v>4.3604791696025529E-3</v>
      </c>
    </row>
    <row r="61" spans="1:5">
      <c r="A61">
        <v>59</v>
      </c>
      <c r="B61" s="2">
        <v>7.7163996349811984E-2</v>
      </c>
      <c r="C61" s="2">
        <v>0.38795982448635136</v>
      </c>
      <c r="D61" s="2">
        <v>1.4372209170310239E-3</v>
      </c>
      <c r="E61" s="2">
        <v>4.3527110510621723E-3</v>
      </c>
    </row>
    <row r="62" spans="1:5">
      <c r="A62">
        <v>60</v>
      </c>
      <c r="B62" s="2">
        <v>7.8599449057489765E-2</v>
      </c>
      <c r="C62" s="2">
        <v>0.39230869823738901</v>
      </c>
      <c r="D62" s="2">
        <v>1.433720208059453E-3</v>
      </c>
      <c r="E62" s="2">
        <v>4.3450818627519998E-3</v>
      </c>
    </row>
    <row r="63" spans="1:5">
      <c r="A63">
        <v>61</v>
      </c>
      <c r="B63" s="2">
        <v>8.0031454336296257E-2</v>
      </c>
      <c r="C63" s="2">
        <v>0.3966500104684374</v>
      </c>
      <c r="D63" s="2">
        <v>1.4303249119084053E-3</v>
      </c>
      <c r="E63" s="2">
        <v>4.3375862157849299E-3</v>
      </c>
    </row>
    <row r="64" spans="1:5">
      <c r="A64">
        <v>62</v>
      </c>
      <c r="B64" s="2">
        <v>8.1460115870763114E-2</v>
      </c>
      <c r="C64" s="2">
        <v>0.40098389202990148</v>
      </c>
      <c r="D64" s="2">
        <v>1.427031546519365E-3</v>
      </c>
      <c r="E64" s="2">
        <v>4.3302187390113368E-3</v>
      </c>
    </row>
    <row r="65" spans="1:5">
      <c r="A65">
        <v>63</v>
      </c>
      <c r="B65" s="2">
        <v>8.2885533827881774E-2</v>
      </c>
      <c r="C65" s="2">
        <v>0.40531046841928398</v>
      </c>
      <c r="D65" s="2">
        <v>1.4238365693130832E-3</v>
      </c>
      <c r="E65" s="2">
        <v>4.3229741059480509E-3</v>
      </c>
    </row>
    <row r="66" spans="1:5">
      <c r="A66">
        <v>64</v>
      </c>
      <c r="B66" s="2">
        <v>8.4307804811828854E-2</v>
      </c>
      <c r="C66" s="2">
        <v>0.40962985983774097</v>
      </c>
      <c r="D66" s="2">
        <v>1.4207364060801026E-3</v>
      </c>
      <c r="E66" s="2">
        <v>4.3158470571433129E-3</v>
      </c>
    </row>
    <row r="67" spans="1:5">
      <c r="A67">
        <v>65</v>
      </c>
      <c r="B67" s="2">
        <v>8.5727021845235687E-2</v>
      </c>
      <c r="C67" s="2">
        <v>0.41394218126693211</v>
      </c>
      <c r="D67" s="2">
        <v>1.417727475389755E-3</v>
      </c>
      <c r="E67" s="2">
        <v>4.3088324185970462E-3</v>
      </c>
    </row>
    <row r="68" spans="1:5">
      <c r="A68">
        <v>66</v>
      </c>
      <c r="B68" s="2">
        <v>8.7143274372829427E-2</v>
      </c>
      <c r="C68" s="2">
        <v>0.41824754256250696</v>
      </c>
      <c r="D68" s="2">
        <v>1.4148062091135787E-3</v>
      </c>
      <c r="E68" s="2">
        <v>4.3019251167763506E-3</v>
      </c>
    </row>
    <row r="69" spans="1:5">
      <c r="A69">
        <v>67</v>
      </c>
      <c r="B69" s="2">
        <v>8.855664828383604E-2</v>
      </c>
      <c r="C69" s="2">
        <v>0.42254604856106714</v>
      </c>
      <c r="D69" s="2">
        <v>1.4119690695830454E-3</v>
      </c>
      <c r="E69" s="2">
        <v>4.2951201906966134E-3</v>
      </c>
    </row>
    <row r="70" spans="1:5">
      <c r="A70">
        <v>68</v>
      </c>
      <c r="B70" s="2">
        <v>8.996722595001326E-2</v>
      </c>
      <c r="C70" s="2">
        <v>0.42683779919787979</v>
      </c>
      <c r="D70" s="2">
        <v>1.4092125638350066E-3</v>
      </c>
      <c r="E70" s="2">
        <v>4.288412801478003E-3</v>
      </c>
    </row>
    <row r="71" spans="1:5">
      <c r="A71">
        <v>69</v>
      </c>
      <c r="B71" s="2">
        <v>9.1375086276610368E-2</v>
      </c>
      <c r="C71" s="2">
        <v>0.43112288963301365</v>
      </c>
      <c r="D71" s="2">
        <v>1.4065332553401702E-3</v>
      </c>
      <c r="E71" s="2">
        <v>4.2817982397339817E-3</v>
      </c>
    </row>
    <row r="72" spans="1:5">
      <c r="A72">
        <v>70</v>
      </c>
      <c r="B72" s="2">
        <v>9.2780304763913968E-2</v>
      </c>
      <c r="C72" s="2">
        <v>0.43540141038387986</v>
      </c>
      <c r="D72" s="2">
        <v>1.4039277735591724E-3</v>
      </c>
      <c r="E72" s="2">
        <v>4.2752719311023122E-3</v>
      </c>
    </row>
    <row r="73" spans="1:5">
      <c r="A73">
        <v>71</v>
      </c>
      <c r="B73" s="2">
        <v>9.4182953577370651E-2</v>
      </c>
      <c r="C73" s="2">
        <v>0.43967344746247489</v>
      </c>
      <c r="D73" s="2">
        <v>1.4013928216264624E-3</v>
      </c>
      <c r="E73" s="2">
        <v>4.2688294401884638E-3</v>
      </c>
    </row>
    <row r="74" spans="1:5">
      <c r="A74">
        <v>72</v>
      </c>
      <c r="B74" s="2">
        <v>9.5583101624544933E-2</v>
      </c>
      <c r="C74" s="2">
        <v>0.44393908251585074</v>
      </c>
      <c r="D74" s="2">
        <v>1.3989251824234649E-3</v>
      </c>
      <c r="E74" s="2">
        <v>4.2624664731560884E-3</v>
      </c>
    </row>
    <row r="75" spans="1:5">
      <c r="A75">
        <v>73</v>
      </c>
      <c r="B75" s="2">
        <v>9.6980814637424029E-2</v>
      </c>
      <c r="C75" s="2">
        <v>0.44819839296856756</v>
      </c>
      <c r="D75" s="2">
        <v>1.3965217232686617E-3</v>
      </c>
      <c r="E75" s="2">
        <v>4.2561788791684076E-3</v>
      </c>
    </row>
    <row r="76" spans="1:5">
      <c r="A76">
        <v>74</v>
      </c>
      <c r="B76" s="2">
        <v>9.8376155258790732E-2</v>
      </c>
      <c r="C76" s="2">
        <v>0.4524514521660794</v>
      </c>
      <c r="D76" s="2">
        <v>1.3941793994226694E-3</v>
      </c>
      <c r="E76" s="2">
        <v>4.2499626508573718E-3</v>
      </c>
    </row>
    <row r="77" spans="1:5">
      <c r="A77">
        <v>75</v>
      </c>
      <c r="B77" s="2">
        <v>9.9769183131566921E-2</v>
      </c>
      <c r="C77" s="2">
        <v>0.45669832951814993</v>
      </c>
      <c r="D77" s="2">
        <v>1.3918952565805871E-3</v>
      </c>
      <c r="E77" s="2">
        <v>4.2438139239741202E-3</v>
      </c>
    </row>
    <row r="78" spans="1:5">
      <c r="A78">
        <v>76</v>
      </c>
      <c r="B78" s="2">
        <v>0.1011599549901947</v>
      </c>
      <c r="C78" s="2">
        <v>0.46093909064156152</v>
      </c>
      <c r="D78" s="2">
        <v>1.3896664325013413E-3</v>
      </c>
      <c r="E78" s="2">
        <v>4.2377289763536044E-3</v>
      </c>
    </row>
    <row r="79" spans="1:5">
      <c r="A79">
        <v>77</v>
      </c>
      <c r="B79" s="2">
        <v>0.10254852475326098</v>
      </c>
      <c r="C79" s="2">
        <v>0.46517379750147786</v>
      </c>
      <c r="D79" s="2">
        <v>1.3874901579041055E-3</v>
      </c>
      <c r="E79" s="2">
        <v>4.2317042263085346E-3</v>
      </c>
    </row>
    <row r="80" spans="1:5">
      <c r="A80">
        <v>78</v>
      </c>
      <c r="B80" s="2">
        <v>0.10393494361669159</v>
      </c>
      <c r="C80" s="2">
        <v>0.46940250855095933</v>
      </c>
      <c r="D80" s="2">
        <v>1.3853637567446775E-3</v>
      </c>
      <c r="E80" s="2">
        <v>4.2257362305521328E-3</v>
      </c>
    </row>
    <row r="81" spans="1:5">
      <c r="A81">
        <v>79</v>
      </c>
      <c r="B81" s="2">
        <v>0.10531926014694191</v>
      </c>
      <c r="C81" s="2">
        <v>0.47362527886818473</v>
      </c>
      <c r="D81" s="2">
        <v>1.3832846459697274E-3</v>
      </c>
      <c r="E81" s="2">
        <v>4.2198216817356067E-3</v>
      </c>
    </row>
    <row r="82" spans="1:5">
      <c r="A82">
        <v>80</v>
      </c>
      <c r="B82" s="2">
        <v>0.10670152037371534</v>
      </c>
      <c r="C82" s="2">
        <v>0.47784216029105309</v>
      </c>
      <c r="D82" s="2">
        <v>1.3812503348337637E-3</v>
      </c>
      <c r="E82" s="2">
        <v>4.2139574056744731E-3</v>
      </c>
    </row>
    <row r="83" spans="1:5">
      <c r="A83">
        <v>81</v>
      </c>
      <c r="B83" s="2">
        <v>0.10808176788180229</v>
      </c>
      <c r="C83" s="2">
        <v>0.48205320154886955</v>
      </c>
      <c r="D83" s="2">
        <v>1.3792584238522393E-3</v>
      </c>
      <c r="E83" s="2">
        <v>4.2081403583275031E-3</v>
      </c>
    </row>
    <row r="84" spans="1:5">
      <c r="A84">
        <v>82</v>
      </c>
      <c r="B84" s="2">
        <v>0.10946004390171109</v>
      </c>
      <c r="C84" s="2">
        <v>0.48625844839091381</v>
      </c>
      <c r="D84" s="2">
        <v>1.3773066034543111E-3</v>
      </c>
      <c r="E84" s="2">
        <v>4.2023676225830774E-3</v>
      </c>
    </row>
    <row r="85" spans="1:5">
      <c r="A85">
        <v>83</v>
      </c>
      <c r="B85" s="2">
        <v>0.11083638739882391</v>
      </c>
      <c r="C85" s="2">
        <v>0.49045794371170987</v>
      </c>
      <c r="D85" s="2">
        <v>1.3753926523900673E-3</v>
      </c>
      <c r="E85" s="2">
        <v>4.1966364049000017E-3</v>
      </c>
    </row>
    <row r="86" spans="1:5">
      <c r="A86">
        <v>84</v>
      </c>
      <c r="B86" s="2">
        <v>0.11221083516084991</v>
      </c>
      <c r="C86" s="2">
        <v>0.49465172767287513</v>
      </c>
      <c r="D86" s="2">
        <v>1.3735144359395069E-3</v>
      </c>
      <c r="E86" s="2">
        <v>4.1909440318429209E-3</v>
      </c>
    </row>
    <row r="87" spans="1:5">
      <c r="A87">
        <v>85</v>
      </c>
      <c r="B87" s="2">
        <v>0.11358342188340635</v>
      </c>
      <c r="C87" s="2">
        <v>0.49883983782147145</v>
      </c>
      <c r="D87" s="2">
        <v>1.3716699039639753E-3</v>
      </c>
      <c r="E87" s="2">
        <v>4.1852879465466928E-3</v>
      </c>
    </row>
    <row r="88" spans="1:5">
      <c r="A88">
        <v>86</v>
      </c>
      <c r="B88" s="2">
        <v>0.1149541802535797</v>
      </c>
      <c r="C88" s="2">
        <v>0.50302230920479218</v>
      </c>
      <c r="D88" s="2">
        <v>1.3698570888350139E-3</v>
      </c>
      <c r="E88" s="2">
        <v>4.1796657051388344E-3</v>
      </c>
    </row>
    <row r="89" spans="1:5">
      <c r="A89">
        <v>87</v>
      </c>
      <c r="B89" s="2">
        <v>0.11632314103136829</v>
      </c>
      <c r="C89" s="2">
        <v>0.5071991744815546</v>
      </c>
      <c r="D89" s="2">
        <v>1.3680741032706229E-3</v>
      </c>
      <c r="E89" s="2">
        <v>4.1740749731447617E-3</v>
      </c>
    </row>
    <row r="90" spans="1:5">
      <c r="A90">
        <v>88</v>
      </c>
      <c r="B90" s="2">
        <v>0.1176903331289228</v>
      </c>
      <c r="C90" s="2">
        <v>0.51137046402950148</v>
      </c>
      <c r="D90" s="2">
        <v>1.3663191381045824E-3</v>
      </c>
      <c r="E90" s="2">
        <v>4.1685135218966895E-3</v>
      </c>
    </row>
    <row r="91" spans="1:5">
      <c r="A91">
        <v>89</v>
      </c>
      <c r="B91" s="2">
        <v>0.11905578368753017</v>
      </c>
      <c r="C91" s="2">
        <v>0.5155362060494213</v>
      </c>
      <c r="D91" s="2">
        <v>1.364590460010705E-3</v>
      </c>
      <c r="E91" s="2">
        <v>4.162979224963617E-3</v>
      </c>
    </row>
    <row r="92" spans="1:5">
      <c r="A92">
        <v>90</v>
      </c>
      <c r="B92" s="2">
        <v>0.12041951815230431</v>
      </c>
      <c r="C92" s="2">
        <v>0.51969642666560556</v>
      </c>
      <c r="D92" s="2">
        <v>1.3628864092006384E-3</v>
      </c>
      <c r="E92" s="2">
        <v>4.1574700546170512E-3</v>
      </c>
    </row>
    <row r="93" spans="1:5">
      <c r="A93">
        <v>91</v>
      </c>
      <c r="B93" s="2">
        <v>0.12178156034456954</v>
      </c>
      <c r="C93" s="2">
        <v>0.52385115002280391</v>
      </c>
      <c r="D93" s="2">
        <v>1.3612053971109642E-3</v>
      </c>
      <c r="E93" s="2">
        <v>4.1519840783445124E-3</v>
      </c>
    </row>
    <row r="94" spans="1:5">
      <c r="A94">
        <v>92</v>
      </c>
      <c r="B94" s="2">
        <v>0.12314193253192758</v>
      </c>
      <c r="C94" s="2">
        <v>0.52800039837971147</v>
      </c>
      <c r="D94" s="2">
        <v>1.3595459040928947E-3</v>
      </c>
      <c r="E94" s="2">
        <v>4.1465194554207233E-3</v>
      </c>
    </row>
    <row r="95" spans="1:5">
      <c r="A95">
        <v>93</v>
      </c>
      <c r="B95" s="2">
        <v>0.12450065549602266</v>
      </c>
      <c r="C95" s="2">
        <v>0.53214419219906683</v>
      </c>
      <c r="D95" s="2">
        <v>1.3579064771157198E-3</v>
      </c>
      <c r="E95" s="2">
        <v>4.1410744335445256E-3</v>
      </c>
    </row>
    <row r="96" spans="1:5">
      <c r="A96">
        <v>94</v>
      </c>
      <c r="B96" s="2">
        <v>0.12585774859801657</v>
      </c>
      <c r="C96" s="2">
        <v>0.53628255023441473</v>
      </c>
      <c r="D96" s="2">
        <v>1.356285727493307E-3</v>
      </c>
      <c r="E96" s="2">
        <v>4.135647345547968E-3</v>
      </c>
    </row>
    <row r="97" spans="1:5">
      <c r="A97">
        <v>95</v>
      </c>
      <c r="B97" s="2">
        <v>0.12721322984180611</v>
      </c>
      <c r="C97" s="2">
        <v>0.54041548961362085</v>
      </c>
      <c r="D97" s="2">
        <v>1.3546823286413557E-3</v>
      </c>
      <c r="E97" s="2">
        <v>4.1302366061825605E-3</v>
      </c>
    </row>
    <row r="98" spans="1:5">
      <c r="A98">
        <v>96</v>
      </c>
      <c r="B98" s="2">
        <v>0.12856711593501718</v>
      </c>
      <c r="C98" s="2">
        <v>0.54454302591921155</v>
      </c>
      <c r="D98" s="2">
        <v>1.3530950138717249E-3</v>
      </c>
      <c r="E98" s="2">
        <v>4.1248407089865928E-3</v>
      </c>
    </row>
    <row r="99" spans="1:5">
      <c r="A99">
        <v>97</v>
      </c>
      <c r="B99" s="2">
        <v>0.1299194223478102</v>
      </c>
      <c r="C99" s="2">
        <v>0.54866517326562192</v>
      </c>
      <c r="D99" s="2">
        <v>1.3515225742289547E-3</v>
      </c>
      <c r="E99" s="2">
        <v>4.1194582232363178E-3</v>
      </c>
    </row>
    <row r="100" spans="1:5">
      <c r="A100">
        <v>98</v>
      </c>
      <c r="B100" s="2">
        <v>0.13127016336954705</v>
      </c>
      <c r="C100" s="2">
        <v>0.5527819443734352</v>
      </c>
      <c r="D100" s="2">
        <v>1.3499638563730819E-3</v>
      </c>
      <c r="E100" s="2">
        <v>4.1140877909829586E-3</v>
      </c>
    </row>
    <row r="101" spans="1:5">
      <c r="A101">
        <v>99</v>
      </c>
      <c r="B101" s="2">
        <v>0.13261935216336335</v>
      </c>
      <c r="C101" s="2">
        <v>0.55689335064070988</v>
      </c>
      <c r="D101" s="2">
        <v>1.3484177605119529E-3</v>
      </c>
      <c r="E101" s="2">
        <v>4.108728124176798E-3</v>
      </c>
    </row>
    <row r="102" spans="1:5">
      <c r="A102">
        <v>100</v>
      </c>
      <c r="B102" s="2">
        <v>0.13396700081870025</v>
      </c>
      <c r="C102" s="2">
        <v>0.5609994022114666</v>
      </c>
      <c r="D102" s="2">
        <v>1.3468832383854972E-3</v>
      </c>
      <c r="E102" s="2">
        <v>4.103378001878902E-3</v>
      </c>
    </row>
    <row r="103" spans="1:5">
      <c r="A103">
        <v>101</v>
      </c>
      <c r="B103" s="2">
        <v>0.13531312040184715</v>
      </c>
      <c r="C103" s="2">
        <v>0.56510010804143329</v>
      </c>
      <c r="D103" s="2">
        <v>1.3453592913037532E-3</v>
      </c>
      <c r="E103" s="2">
        <v>4.0980362675605564E-3</v>
      </c>
    </row>
    <row r="104" spans="1:5">
      <c r="A104">
        <v>102</v>
      </c>
      <c r="B104" s="2">
        <v>0.13665772100454718</v>
      </c>
      <c r="C104" s="2">
        <v>0.56919547596113995</v>
      </c>
      <c r="D104" s="2">
        <v>1.3438449682399002E-3</v>
      </c>
      <c r="E104" s="2">
        <v>4.0927018264900472E-3</v>
      </c>
    </row>
    <row r="105" spans="1:5">
      <c r="A105">
        <v>103</v>
      </c>
      <c r="B105" s="2">
        <v>0.13800081179072723</v>
      </c>
      <c r="C105" s="2">
        <v>0.57328551273643036</v>
      </c>
      <c r="D105" s="2">
        <v>1.3423393639790738E-3</v>
      </c>
      <c r="E105" s="2">
        <v>4.0873736432060145E-3</v>
      </c>
    </row>
    <row r="106" spans="1:5">
      <c r="A106">
        <v>104</v>
      </c>
      <c r="B106" s="2">
        <v>0.13934240104140161</v>
      </c>
      <c r="C106" s="2">
        <v>0.5773702241265023</v>
      </c>
      <c r="D106" s="2">
        <v>1.3408416173233345E-3</v>
      </c>
      <c r="E106" s="2">
        <v>4.082050739076316E-3</v>
      </c>
    </row>
    <row r="107" spans="1:5">
      <c r="A107">
        <v>105</v>
      </c>
      <c r="B107" s="2">
        <v>0.14068249619781148</v>
      </c>
      <c r="C107" s="2">
        <v>0.58144961493954461</v>
      </c>
      <c r="D107" s="2">
        <v>1.3393509093528322E-3</v>
      </c>
      <c r="E107" s="2">
        <v>4.0767321899410911E-3</v>
      </c>
    </row>
    <row r="108" spans="1:5">
      <c r="A108">
        <v>106</v>
      </c>
      <c r="B108" s="2">
        <v>0.14202110390285128</v>
      </c>
      <c r="C108" s="2">
        <v>0.58552368908605579</v>
      </c>
      <c r="D108" s="2">
        <v>1.3378664617429113E-3</v>
      </c>
      <c r="E108" s="2">
        <v>4.0714171238384767E-3</v>
      </c>
    </row>
    <row r="109" spans="1:5">
      <c r="A109">
        <v>107</v>
      </c>
      <c r="B109" s="2">
        <v>0.14335823004084114</v>
      </c>
      <c r="C109" s="2">
        <v>0.5895924496299354</v>
      </c>
      <c r="D109" s="2">
        <v>1.3363875351366829E-3</v>
      </c>
      <c r="E109" s="2">
        <v>4.0661047188113213E-3</v>
      </c>
    </row>
    <row r="110" spans="1:5">
      <c r="A110">
        <v>108</v>
      </c>
      <c r="B110" s="2">
        <v>0.1446938797757</v>
      </c>
      <c r="C110" s="2">
        <v>0.59365589883741543</v>
      </c>
      <c r="D110" s="2">
        <v>1.334913427572366E-3</v>
      </c>
      <c r="E110" s="2">
        <v>4.060794200793018E-3</v>
      </c>
    </row>
    <row r="111" spans="1:5">
      <c r="A111">
        <v>109</v>
      </c>
      <c r="B111" s="2">
        <v>0.14602805758757167</v>
      </c>
      <c r="C111" s="2">
        <v>0.59771403822392166</v>
      </c>
      <c r="D111" s="2">
        <v>1.3334434729645661E-3</v>
      </c>
      <c r="E111" s="2">
        <v>4.0554848415705804E-3</v>
      </c>
    </row>
    <row r="112" spans="1:5">
      <c r="A112">
        <v>110</v>
      </c>
      <c r="B112" s="2">
        <v>0.14736076730795947</v>
      </c>
      <c r="C112" s="2">
        <v>0.6017668685989348</v>
      </c>
      <c r="D112" s="2">
        <v>1.3319770396385024E-3</v>
      </c>
      <c r="E112" s="2">
        <v>4.0501759568229104E-3</v>
      </c>
    </row>
    <row r="113" spans="1:5">
      <c r="A113">
        <v>111</v>
      </c>
      <c r="B113" s="2">
        <v>0.1486920121534219</v>
      </c>
      <c r="C113" s="2">
        <v>0.60581439010892391</v>
      </c>
      <c r="D113" s="2">
        <v>1.3305135289161081E-3</v>
      </c>
      <c r="E113" s="2">
        <v>4.0448669042322544E-3</v>
      </c>
    </row>
    <row r="114" spans="1:5">
      <c r="A114">
        <v>112</v>
      </c>
      <c r="B114" s="2">
        <v>0.15002179475787927</v>
      </c>
      <c r="C114" s="2">
        <v>0.60985660227842942</v>
      </c>
      <c r="D114" s="2">
        <v>1.3290523737528304E-3</v>
      </c>
      <c r="E114" s="2">
        <v>4.0395570816667038E-3</v>
      </c>
    </row>
    <row r="115" spans="1:5">
      <c r="A115">
        <v>113</v>
      </c>
      <c r="B115" s="2">
        <v>0.15135011720358224</v>
      </c>
      <c r="C115" s="2">
        <v>0.61389350404936582</v>
      </c>
      <c r="D115" s="2">
        <v>1.3275930374238964E-3</v>
      </c>
      <c r="E115" s="2">
        <v>4.0342459254316555E-3</v>
      </c>
    </row>
    <row r="116" spans="1:5">
      <c r="A116">
        <v>114</v>
      </c>
      <c r="B116" s="2">
        <v>0.15267698105079036</v>
      </c>
      <c r="C116" s="2">
        <v>0.61792509381860483</v>
      </c>
      <c r="D116" s="2">
        <v>1.3261350122587678E-3</v>
      </c>
      <c r="E116" s="2">
        <v>4.0289329085881195E-3</v>
      </c>
    </row>
    <row r="117" spans="1:5">
      <c r="A117">
        <v>115</v>
      </c>
      <c r="B117" s="2">
        <v>0.15400238736621025</v>
      </c>
      <c r="C117" s="2">
        <v>0.62195136947391261</v>
      </c>
      <c r="D117" s="2">
        <v>1.3246778184224644E-3</v>
      </c>
      <c r="E117" s="2">
        <v>4.0236175393357386E-3</v>
      </c>
    </row>
    <row r="118" spans="1:5">
      <c r="A118">
        <v>116</v>
      </c>
      <c r="B118" s="2">
        <v>0.15532633675023585</v>
      </c>
      <c r="C118" s="2">
        <v>0.62597232842830364</v>
      </c>
      <c r="D118" s="2">
        <v>1.3232210027424223E-3</v>
      </c>
      <c r="E118" s="2">
        <v>4.0182993594584564E-3</v>
      </c>
    </row>
    <row r="119" spans="1:5">
      <c r="A119">
        <v>117</v>
      </c>
      <c r="B119" s="2">
        <v>0.15664882936304017</v>
      </c>
      <c r="C119" s="2">
        <v>0.62998796765286014</v>
      </c>
      <c r="D119" s="2">
        <v>1.3217641375795305E-3</v>
      </c>
      <c r="E119" s="2">
        <v>4.0129779428307189E-3</v>
      </c>
    </row>
    <row r="120" spans="1:5">
      <c r="A120">
        <v>118</v>
      </c>
      <c r="B120" s="2">
        <v>0.15796986494955903</v>
      </c>
      <c r="C120" s="2">
        <v>0.63399828370810596</v>
      </c>
      <c r="D120" s="2">
        <v>1.3203068197419985E-3</v>
      </c>
      <c r="E120" s="2">
        <v>4.0076528939822177E-3</v>
      </c>
    </row>
    <row r="121" spans="1:5">
      <c r="A121">
        <v>119</v>
      </c>
      <c r="B121" s="2">
        <v>0.15928944286340679</v>
      </c>
      <c r="C121" s="2">
        <v>0.63800327277395541</v>
      </c>
      <c r="D121" s="2">
        <v>1.3188486694406996E-3</v>
      </c>
      <c r="E121" s="2">
        <v>4.002323846719111E-3</v>
      </c>
    </row>
    <row r="122" spans="1:5">
      <c r="A122">
        <v>120</v>
      </c>
      <c r="B122" s="2">
        <v>0.1606075620897737</v>
      </c>
      <c r="C122" s="2">
        <v>0.64200293067832259</v>
      </c>
      <c r="D122" s="2">
        <v>1.3173893292846549E-3</v>
      </c>
      <c r="E122" s="2">
        <v>3.9969904627998043E-3</v>
      </c>
    </row>
    <row r="123" spans="1:5">
      <c r="A123">
        <v>121</v>
      </c>
      <c r="B123" s="2">
        <v>0.16192422126733194</v>
      </c>
      <c r="C123" s="2">
        <v>0.64599725292442711</v>
      </c>
      <c r="D123" s="2">
        <v>1.3159284633153228E-3</v>
      </c>
      <c r="E123" s="2">
        <v>3.991652430663321E-3</v>
      </c>
    </row>
    <row r="124" spans="1:5">
      <c r="A124">
        <v>122</v>
      </c>
      <c r="B124" s="2">
        <v>0.16323941870919939</v>
      </c>
      <c r="C124" s="2">
        <v>0.64998623471685746</v>
      </c>
      <c r="D124" s="2">
        <v>1.3144657560784025E-3</v>
      </c>
      <c r="E124" s="2">
        <v>3.9863094642084247E-3</v>
      </c>
    </row>
    <row r="125" spans="1:5">
      <c r="A125">
        <v>123</v>
      </c>
      <c r="B125" s="2">
        <v>0.16455315242299129</v>
      </c>
      <c r="C125" s="2">
        <v>0.65396987098643522</v>
      </c>
      <c r="D125" s="2">
        <v>1.3130009117318499E-3</v>
      </c>
      <c r="E125" s="2">
        <v>3.9809613016216104E-3</v>
      </c>
    </row>
    <row r="126" spans="1:5">
      <c r="A126">
        <v>124</v>
      </c>
      <c r="B126" s="2">
        <v>0.16586542012999805</v>
      </c>
      <c r="C126" s="2">
        <v>0.65794815641393434</v>
      </c>
      <c r="D126" s="2">
        <v>1.3115336531888608E-3</v>
      </c>
      <c r="E126" s="2">
        <v>3.9756077042522398E-3</v>
      </c>
    </row>
    <row r="127" spans="1:5">
      <c r="A127">
        <v>125</v>
      </c>
      <c r="B127" s="2">
        <v>0.16717621928352464</v>
      </c>
      <c r="C127" s="2">
        <v>0.66192108545269657</v>
      </c>
      <c r="D127" s="2">
        <v>1.3100637212945824E-3</v>
      </c>
      <c r="E127" s="2">
        <v>3.970248455533021E-3</v>
      </c>
    </row>
    <row r="128" spans="1:5">
      <c r="A128">
        <v>126</v>
      </c>
      <c r="B128" s="2">
        <v>0.16848554708641977</v>
      </c>
      <c r="C128" s="2">
        <v>0.66588865235018802</v>
      </c>
      <c r="D128" s="2">
        <v>1.3085908740353544E-3</v>
      </c>
      <c r="E128" s="2">
        <v>3.9648833599442105E-3</v>
      </c>
    </row>
    <row r="129" spans="1:5">
      <c r="A129">
        <v>127</v>
      </c>
      <c r="B129" s="2">
        <v>0.16979340050783465</v>
      </c>
      <c r="C129" s="2">
        <v>0.66985085116854393</v>
      </c>
      <c r="D129" s="2">
        <v>1.3071148857793017E-3</v>
      </c>
      <c r="E129" s="2">
        <v>3.9595122420198661E-3</v>
      </c>
    </row>
    <row r="130" spans="1:5">
      <c r="A130">
        <v>128</v>
      </c>
      <c r="B130" s="2">
        <v>0.1710997762992329</v>
      </c>
      <c r="C130" s="2">
        <v>0.67380767580414036</v>
      </c>
      <c r="D130" s="2">
        <v>1.3056355465471473E-3</v>
      </c>
      <c r="E130" s="2">
        <v>3.9541349453945671E-3</v>
      </c>
    </row>
    <row r="131" spans="1:5">
      <c r="A131">
        <v>129</v>
      </c>
      <c r="B131" s="2">
        <v>0.17240467100969037</v>
      </c>
      <c r="C131" s="2">
        <v>0.67775912000623029</v>
      </c>
      <c r="D131" s="2">
        <v>1.3041526613121277E-3</v>
      </c>
      <c r="E131" s="2">
        <v>3.9487513318891068E-3</v>
      </c>
    </row>
    <row r="132" spans="1:5">
      <c r="A132">
        <v>130</v>
      </c>
      <c r="B132" s="2">
        <v>0.17370808100050503</v>
      </c>
      <c r="C132" s="2">
        <v>0.6817051773946845</v>
      </c>
      <c r="D132" s="2">
        <v>1.3026660493279376E-3</v>
      </c>
      <c r="E132" s="2">
        <v>3.9433612806336373E-3</v>
      </c>
    </row>
    <row r="133" spans="1:5">
      <c r="A133">
        <v>131</v>
      </c>
      <c r="B133" s="2">
        <v>0.17501000245915246</v>
      </c>
      <c r="C133" s="2">
        <v>0.68564584147687713</v>
      </c>
      <c r="D133" s="2">
        <v>1.3011755434836614E-3</v>
      </c>
      <c r="E133" s="2">
        <v>3.9379646872268461E-3</v>
      </c>
    </row>
    <row r="134" spans="1:5">
      <c r="A134">
        <v>132</v>
      </c>
      <c r="B134" s="2">
        <v>0.17631043141260594</v>
      </c>
      <c r="C134" s="2">
        <v>0.6895811056637412</v>
      </c>
      <c r="D134" s="2">
        <v>1.299680989684677E-3</v>
      </c>
      <c r="E134" s="2">
        <v>3.9325614629297928E-3</v>
      </c>
    </row>
    <row r="135" spans="1:5">
      <c r="A135">
        <v>133</v>
      </c>
      <c r="B135" s="2">
        <v>0.1776093637400529</v>
      </c>
      <c r="C135" s="2">
        <v>0.69351096328504347</v>
      </c>
      <c r="D135" s="2">
        <v>1.2981822462585556E-3</v>
      </c>
      <c r="E135" s="2">
        <v>3.9271515338930542E-3</v>
      </c>
    </row>
    <row r="136" spans="1:5">
      <c r="A136">
        <v>134</v>
      </c>
      <c r="B136" s="2">
        <v>0.17890679518502667</v>
      </c>
      <c r="C136" s="2">
        <v>0.69743540760389611</v>
      </c>
      <c r="D136" s="2">
        <v>1.2966791833850036E-3</v>
      </c>
      <c r="E136" s="2">
        <v>3.9217348404158945E-3</v>
      </c>
    </row>
    <row r="137" spans="1:5">
      <c r="A137">
        <v>135</v>
      </c>
      <c r="B137" s="2">
        <v>0.18020272136698259</v>
      </c>
      <c r="C137" s="2">
        <v>0.70135443183054491</v>
      </c>
      <c r="D137" s="2">
        <v>1.2951716825489437E-3</v>
      </c>
      <c r="E137" s="2">
        <v>3.9163113362362277E-3</v>
      </c>
    </row>
    <row r="138" spans="1:5">
      <c r="A138">
        <v>136</v>
      </c>
      <c r="B138" s="2">
        <v>0.18149713779233687</v>
      </c>
      <c r="C138" s="2">
        <v>0.70526802913546516</v>
      </c>
      <c r="D138" s="2">
        <v>1.2936596360158313E-3</v>
      </c>
      <c r="E138" s="2">
        <v>3.9108809878501431E-3</v>
      </c>
    </row>
    <row r="139" spans="1:5">
      <c r="A139">
        <v>137</v>
      </c>
      <c r="B139" s="2">
        <v>0.18279003986499176</v>
      </c>
      <c r="C139" s="2">
        <v>0.70917619266178611</v>
      </c>
      <c r="D139" s="2">
        <v>1.2921429463283707E-3</v>
      </c>
      <c r="E139" s="2">
        <v>3.9054437738598818E-3</v>
      </c>
    </row>
    <row r="140" spans="1:5">
      <c r="A140">
        <v>138</v>
      </c>
      <c r="B140" s="2">
        <v>0.18408142289636847</v>
      </c>
      <c r="C140" s="2">
        <v>0.71307891553708302</v>
      </c>
      <c r="D140" s="2">
        <v>1.2906215258237949E-3</v>
      </c>
      <c r="E140" s="2">
        <v>3.8999996843490986E-3</v>
      </c>
    </row>
    <row r="141" spans="1:5">
      <c r="A141">
        <v>139</v>
      </c>
      <c r="B141" s="2">
        <v>0.18537128211496637</v>
      </c>
      <c r="C141" s="2">
        <v>0.71697619088455278</v>
      </c>
      <c r="D141" s="2">
        <v>1.2890952961709169E-3</v>
      </c>
      <c r="E141" s="2">
        <v>3.8945487202843862E-3</v>
      </c>
    </row>
    <row r="142" spans="1:5">
      <c r="A142">
        <v>140</v>
      </c>
      <c r="B142" s="2">
        <v>0.1866596126754704</v>
      </c>
      <c r="C142" s="2">
        <v>0.72086801183360838</v>
      </c>
      <c r="D142" s="2">
        <v>1.287564187926183E-3</v>
      </c>
      <c r="E142" s="2">
        <v>3.8890908929419942E-3</v>
      </c>
    </row>
    <row r="143" spans="1:5">
      <c r="A143">
        <v>141</v>
      </c>
      <c r="B143" s="2">
        <v>0.18794640966742221</v>
      </c>
      <c r="C143" s="2">
        <v>0.7247543715299084</v>
      </c>
      <c r="D143" s="2">
        <v>1.2860281401079934E-3</v>
      </c>
      <c r="E143" s="2">
        <v>3.8836262233587575E-3</v>
      </c>
    </row>
    <row r="144" spans="1:5">
      <c r="A144">
        <v>142</v>
      </c>
      <c r="B144" s="2">
        <v>0.18923166812347481</v>
      </c>
      <c r="C144" s="2">
        <v>0.72863526314485161</v>
      </c>
      <c r="D144" s="2">
        <v>1.2844870997885747E-3</v>
      </c>
      <c r="E144" s="2">
        <v>3.8781547418062843E-3</v>
      </c>
    </row>
    <row r="145" spans="1:5">
      <c r="A145">
        <v>143</v>
      </c>
      <c r="B145" s="2">
        <v>0.19051538302724982</v>
      </c>
      <c r="C145" s="2">
        <v>0.73251067988455565</v>
      </c>
      <c r="D145" s="2">
        <v>1.2829410217027146E-3</v>
      </c>
      <c r="E145" s="2">
        <v>3.8726764872874697E-3</v>
      </c>
    </row>
    <row r="146" spans="1:5">
      <c r="A146">
        <v>144</v>
      </c>
      <c r="B146" s="2">
        <v>0.1917975493208072</v>
      </c>
      <c r="C146" s="2">
        <v>0.73638061499834351</v>
      </c>
      <c r="D146" s="2">
        <v>1.2813898678727038E-3</v>
      </c>
      <c r="E146" s="2">
        <v>3.8671915070544569E-3</v>
      </c>
    </row>
    <row r="147" spans="1:5">
      <c r="A147">
        <v>145</v>
      </c>
      <c r="B147" s="2">
        <v>0.19307816191175309</v>
      </c>
      <c r="C147" s="2">
        <v>0.74024506178676197</v>
      </c>
      <c r="D147" s="2">
        <v>1.2798336072488432E-3</v>
      </c>
      <c r="E147" s="2">
        <v>3.8616998561471923E-3</v>
      </c>
    </row>
    <row r="148" spans="1:5">
      <c r="A148">
        <v>146</v>
      </c>
      <c r="B148" s="2">
        <v>0.19435721567999084</v>
      </c>
      <c r="C148" s="2">
        <v>0.74410401360914069</v>
      </c>
      <c r="D148" s="2">
        <v>1.2782722153649086E-3</v>
      </c>
      <c r="E148" s="2">
        <v>3.8562015969517407E-3</v>
      </c>
    </row>
    <row r="149" spans="1:5">
      <c r="A149">
        <v>147</v>
      </c>
      <c r="B149" s="2">
        <v>0.19563470548413814</v>
      </c>
      <c r="C149" s="2">
        <v>0.7479574638907257</v>
      </c>
      <c r="D149" s="2">
        <v>1.2767056740079768E-3</v>
      </c>
      <c r="E149" s="2">
        <v>3.8506967987776003E-3</v>
      </c>
    </row>
    <row r="150" spans="1:5">
      <c r="A150">
        <v>148</v>
      </c>
      <c r="B150" s="2">
        <v>0.19691062616762101</v>
      </c>
      <c r="C150" s="2">
        <v>0.75180540612940117</v>
      </c>
      <c r="D150" s="2">
        <v>1.275133970902052E-3</v>
      </c>
      <c r="E150" s="2">
        <v>3.8451855374532157E-3</v>
      </c>
    </row>
    <row r="151" spans="1:5">
      <c r="A151">
        <v>149</v>
      </c>
      <c r="B151" s="2">
        <v>0.19818497256445444</v>
      </c>
      <c r="C151" s="2">
        <v>0.75564783390200418</v>
      </c>
      <c r="D151" s="2">
        <v>1.273557099404942E-3</v>
      </c>
      <c r="E151" s="2">
        <v>3.8396678949390067E-3</v>
      </c>
    </row>
    <row r="152" spans="1:5">
      <c r="A152">
        <v>150</v>
      </c>
      <c r="B152" s="2">
        <v>0.19945773950473134</v>
      </c>
      <c r="C152" s="2">
        <v>0.75948474087027662</v>
      </c>
      <c r="D152" s="2">
        <v>1.2719750582178605E-3</v>
      </c>
      <c r="E152" s="2">
        <v>3.8341439589571757E-3</v>
      </c>
    </row>
    <row r="153" spans="1:5">
      <c r="A153">
        <v>151</v>
      </c>
      <c r="B153" s="2">
        <v>0.20072892181982296</v>
      </c>
      <c r="C153" s="2">
        <v>0.76331612078644395</v>
      </c>
      <c r="D153" s="2">
        <v>1.2703878511072519E-3</v>
      </c>
      <c r="E153" s="2">
        <v>3.8286138226376293E-3</v>
      </c>
    </row>
    <row r="154" spans="1:5">
      <c r="A154">
        <v>152</v>
      </c>
      <c r="B154" s="2">
        <v>0.20199851434731014</v>
      </c>
      <c r="C154" s="2">
        <v>0.76714196749844887</v>
      </c>
      <c r="D154" s="2">
        <v>1.2687954866383491E-3</v>
      </c>
      <c r="E154" s="2">
        <v>3.8230775841793792E-3</v>
      </c>
    </row>
    <row r="155" spans="1:5">
      <c r="A155">
        <v>153</v>
      </c>
      <c r="B155" s="2">
        <v>0.20326651193565276</v>
      </c>
      <c r="C155" s="2">
        <v>0.77096227495486214</v>
      </c>
      <c r="D155" s="2">
        <v>1.2671979779200005E-3</v>
      </c>
      <c r="E155" s="2">
        <v>3.8175353465267807E-3</v>
      </c>
    </row>
    <row r="156" spans="1:5">
      <c r="A156">
        <v>154</v>
      </c>
      <c r="B156" s="2">
        <v>0.20453290944860858</v>
      </c>
      <c r="C156" s="2">
        <v>0.77477703720946367</v>
      </c>
      <c r="D156" s="2">
        <v>1.2655953423603146E-3</v>
      </c>
      <c r="E156" s="2">
        <v>3.8119872170600125E-3</v>
      </c>
    </row>
    <row r="157" spans="1:5">
      <c r="A157">
        <v>155</v>
      </c>
      <c r="B157" s="2">
        <v>0.20579770176941464</v>
      </c>
      <c r="C157" s="2">
        <v>0.7785862484255347</v>
      </c>
      <c r="D157" s="2">
        <v>1.2639876014326947E-3</v>
      </c>
      <c r="E157" s="2">
        <v>3.806433307299243E-3</v>
      </c>
    </row>
    <row r="158" spans="1:5">
      <c r="A158">
        <v>156</v>
      </c>
      <c r="B158" s="2">
        <v>0.20706088380473792</v>
      </c>
      <c r="C158" s="2">
        <v>0.78238990287984922</v>
      </c>
      <c r="D158" s="2">
        <v>1.2623747804518426E-3</v>
      </c>
      <c r="E158" s="2">
        <v>3.8008737326218965E-3</v>
      </c>
    </row>
    <row r="159" spans="1:5">
      <c r="A159">
        <v>157</v>
      </c>
      <c r="B159" s="2">
        <v>0.20832245048840897</v>
      </c>
      <c r="C159" s="2">
        <v>0.78618799496639724</v>
      </c>
      <c r="D159" s="2">
        <v>1.2607569083593342E-3</v>
      </c>
      <c r="E159" s="2">
        <v>3.7953086119925225E-3</v>
      </c>
    </row>
    <row r="160" spans="1:5">
      <c r="A160">
        <v>158</v>
      </c>
      <c r="B160" s="2">
        <v>0.20958239678494464</v>
      </c>
      <c r="C160" s="2">
        <v>0.78998051919983892</v>
      </c>
      <c r="D160" s="2">
        <v>1.2591340175183889E-3</v>
      </c>
      <c r="E160" s="2">
        <v>3.7897380677047246E-3</v>
      </c>
    </row>
    <row r="161" spans="1:5">
      <c r="A161">
        <v>159</v>
      </c>
      <c r="B161" s="2">
        <v>0.21084071769286819</v>
      </c>
      <c r="C161" s="2">
        <v>0.7937674702187113</v>
      </c>
      <c r="D161" s="2">
        <v>1.2575061435174564E-3</v>
      </c>
      <c r="E161" s="2">
        <v>3.7841622251346945E-3</v>
      </c>
    </row>
    <row r="162" spans="1:5">
      <c r="A162">
        <v>160</v>
      </c>
      <c r="B162" s="2">
        <v>0.21209740824784254</v>
      </c>
      <c r="C162" s="2">
        <v>0.79754884278838756</v>
      </c>
      <c r="D162" s="2">
        <v>1.2558733249822716E-3</v>
      </c>
      <c r="E162" s="2">
        <v>3.7785812125058394E-3</v>
      </c>
    </row>
    <row r="163" spans="1:5">
      <c r="A163">
        <v>161</v>
      </c>
      <c r="B163" s="2">
        <v>0.21335246352561266</v>
      </c>
      <c r="C163" s="2">
        <v>0.80132463180381297</v>
      </c>
      <c r="D163" s="2">
        <v>1.2542356033960356E-3</v>
      </c>
      <c r="E163" s="2">
        <v>3.7729951606640874E-3</v>
      </c>
    </row>
    <row r="164" spans="1:5">
      <c r="A164">
        <v>162</v>
      </c>
      <c r="B164" s="2">
        <v>0.2146058786447787</v>
      </c>
      <c r="C164" s="2">
        <v>0.80509483229201795</v>
      </c>
      <c r="D164" s="2">
        <v>1.2525930229273976E-3</v>
      </c>
      <c r="E164" s="2">
        <v>3.7674042028634147E-3</v>
      </c>
    </row>
    <row r="165" spans="1:5">
      <c r="A165">
        <v>163</v>
      </c>
      <c r="B165" s="2">
        <v>0.21585764876939589</v>
      </c>
      <c r="C165" s="2">
        <v>0.80885943941442195</v>
      </c>
      <c r="D165" s="2">
        <v>1.2509456302659189E-3</v>
      </c>
      <c r="E165" s="2">
        <v>3.76180847456118E-3</v>
      </c>
    </row>
    <row r="166" spans="1:5">
      <c r="A166">
        <v>164</v>
      </c>
      <c r="B166" s="2">
        <v>0.2171077691114168</v>
      </c>
      <c r="C166" s="2">
        <v>0.81261844846893694</v>
      </c>
      <c r="D166" s="2">
        <v>1.2492934744647239E-3</v>
      </c>
      <c r="E166" s="2">
        <v>3.756208113222869E-3</v>
      </c>
    </row>
    <row r="167" spans="1:5">
      <c r="A167">
        <v>165</v>
      </c>
      <c r="B167" s="2">
        <v>0.21835623493297823</v>
      </c>
      <c r="C167" s="2">
        <v>0.81637185489188213</v>
      </c>
      <c r="D167" s="2">
        <v>1.2476366067900419E-3</v>
      </c>
      <c r="E167" s="2">
        <v>3.7506032581358646E-3</v>
      </c>
    </row>
    <row r="168" spans="1:5">
      <c r="A168">
        <v>166</v>
      </c>
      <c r="B168" s="2">
        <v>0.21960304154854143</v>
      </c>
      <c r="C168" s="2">
        <v>0.82011965425971378</v>
      </c>
      <c r="D168" s="2">
        <v>1.2459750805773658E-3</v>
      </c>
      <c r="E168" s="2">
        <v>3.7449940502318666E-3</v>
      </c>
    </row>
    <row r="169" spans="1:5">
      <c r="A169">
        <v>167</v>
      </c>
      <c r="B169" s="2">
        <v>0.22084818432689107</v>
      </c>
      <c r="C169" s="2">
        <v>0.8238618422905879</v>
      </c>
      <c r="D169" s="2">
        <v>1.2443089510939559E-3</v>
      </c>
      <c r="E169" s="2">
        <v>3.7393806319176099E-3</v>
      </c>
    </row>
    <row r="170" spans="1:5">
      <c r="A170">
        <v>168</v>
      </c>
      <c r="B170" s="2">
        <v>0.22209165869300065</v>
      </c>
      <c r="C170" s="2">
        <v>0.82759841484574759</v>
      </c>
      <c r="D170" s="2">
        <v>1.2426382754074331E-3</v>
      </c>
      <c r="E170" s="2">
        <v>3.7337631469135379E-3</v>
      </c>
    </row>
    <row r="171" spans="1:5">
      <c r="A171">
        <v>169</v>
      </c>
      <c r="B171" s="2">
        <v>0.22333346012976951</v>
      </c>
      <c r="C171" s="2">
        <v>0.83132936793076206</v>
      </c>
      <c r="D171" s="2">
        <v>1.2409631122602184E-3</v>
      </c>
      <c r="E171" s="2">
        <v>3.7281417401001066E-3</v>
      </c>
    </row>
    <row r="172" spans="1:5">
      <c r="A172">
        <v>170</v>
      </c>
      <c r="B172" s="2">
        <v>0.22457358417963647</v>
      </c>
      <c r="C172" s="2">
        <v>0.835054697696613</v>
      </c>
      <c r="D172" s="2">
        <v>1.2392835219495757E-3</v>
      </c>
      <c r="E172" s="2">
        <v>3.7225165573714059E-3</v>
      </c>
    </row>
    <row r="173" spans="1:5">
      <c r="A173">
        <v>171</v>
      </c>
      <c r="B173" s="2">
        <v>0.22581202644607537</v>
      </c>
      <c r="C173" s="2">
        <v>0.83877440044063423</v>
      </c>
      <c r="D173" s="2">
        <v>1.2375995662130311E-3</v>
      </c>
      <c r="E173" s="2">
        <v>3.7168877454957783E-3</v>
      </c>
    </row>
    <row r="174" spans="1:5">
      <c r="A174">
        <v>172</v>
      </c>
      <c r="B174" s="2">
        <v>0.22704878259498212</v>
      </c>
      <c r="C174" s="2">
        <v>0.84248847260732096</v>
      </c>
      <c r="D174" s="2">
        <v>1.2359113081189545E-3</v>
      </c>
      <c r="E174" s="2">
        <v>3.7112554519831763E-3</v>
      </c>
    </row>
    <row r="175" spans="1:5">
      <c r="A175">
        <v>173</v>
      </c>
      <c r="B175" s="2">
        <v>0.22828384835595061</v>
      </c>
      <c r="C175" s="2">
        <v>0.84619691078900638</v>
      </c>
      <c r="D175" s="2">
        <v>1.2342188119620881E-3</v>
      </c>
      <c r="E175" s="2">
        <v>3.7056198249589521E-3</v>
      </c>
    </row>
    <row r="176" spans="1:5">
      <c r="A176">
        <v>174</v>
      </c>
      <c r="B176" s="2">
        <v>0.22951721952344875</v>
      </c>
      <c r="C176" s="2">
        <v>0.84989971172641643</v>
      </c>
      <c r="D176" s="2">
        <v>1.2325221431638187E-3</v>
      </c>
      <c r="E176" s="2">
        <v>3.6999810130438214E-3</v>
      </c>
    </row>
    <row r="177" spans="1:5">
      <c r="A177">
        <v>175</v>
      </c>
      <c r="B177" s="2">
        <v>0.23074889195789766</v>
      </c>
      <c r="C177" s="2">
        <v>0.85359687230910741</v>
      </c>
      <c r="D177" s="2">
        <v>1.2308213681770097E-3</v>
      </c>
      <c r="E177" s="2">
        <v>3.6943391652397516E-3</v>
      </c>
    </row>
    <row r="178" spans="1:5">
      <c r="A178">
        <v>176</v>
      </c>
      <c r="B178" s="2">
        <v>0.23197886158665565</v>
      </c>
      <c r="C178" s="2">
        <v>0.85728838957578979</v>
      </c>
      <c r="D178" s="2">
        <v>1.2291165543951929E-3</v>
      </c>
      <c r="E178" s="2">
        <v>3.6886944308215128E-3</v>
      </c>
    </row>
    <row r="179" spans="1:5">
      <c r="A179">
        <v>177</v>
      </c>
      <c r="B179" s="2">
        <v>0.233207124404917</v>
      </c>
      <c r="C179" s="2">
        <v>0.86097426071455296</v>
      </c>
      <c r="D179" s="2">
        <v>1.2274077700659533E-3</v>
      </c>
      <c r="E179" s="2">
        <v>3.6830469592336709E-3</v>
      </c>
    </row>
    <row r="180" spans="1:5">
      <c r="A180">
        <v>178</v>
      </c>
      <c r="B180" s="2">
        <v>0.23443367647652111</v>
      </c>
      <c r="C180" s="2">
        <v>0.86465448306298165</v>
      </c>
      <c r="D180" s="2">
        <v>1.2256950842083232E-3</v>
      </c>
      <c r="E180" s="2">
        <v>3.6773968999927824E-3</v>
      </c>
    </row>
    <row r="181" spans="1:5">
      <c r="A181">
        <v>179</v>
      </c>
      <c r="B181" s="2">
        <v>0.23565851393468701</v>
      </c>
      <c r="C181" s="2">
        <v>0.86832905410818051</v>
      </c>
      <c r="D181" s="2">
        <v>1.2239785665340364E-3</v>
      </c>
      <c r="E181" s="2">
        <v>3.6717444025945773E-3</v>
      </c>
    </row>
    <row r="182" spans="1:5">
      <c r="A182">
        <v>180</v>
      </c>
      <c r="B182" s="2">
        <v>0.23688163298266524</v>
      </c>
      <c r="C182" s="2">
        <v>0.87199797148671121</v>
      </c>
      <c r="D182" s="2">
        <v>1.2222582873724663E-3</v>
      </c>
      <c r="E182" s="2">
        <v>3.6660896164259259E-3</v>
      </c>
    </row>
    <row r="183" spans="1:5">
      <c r="A183">
        <v>181</v>
      </c>
      <c r="B183" s="2">
        <v>0.23810302989432169</v>
      </c>
      <c r="C183" s="2">
        <v>0.87566123298443976</v>
      </c>
      <c r="D183" s="2">
        <v>1.2205343175991101E-3</v>
      </c>
      <c r="E183" s="2">
        <v>3.6604326906813749E-3</v>
      </c>
    </row>
    <row r="184" spans="1:5">
      <c r="A184">
        <v>182</v>
      </c>
      <c r="B184" s="2">
        <v>0.23932270101464673</v>
      </c>
      <c r="C184" s="2">
        <v>0.87931883653630294</v>
      </c>
      <c r="D184" s="2">
        <v>1.2188067285674646E-3</v>
      </c>
      <c r="E184" s="2">
        <v>3.6547737742840779E-3</v>
      </c>
    </row>
    <row r="185" spans="1:5">
      <c r="A185">
        <v>183</v>
      </c>
      <c r="B185" s="2">
        <v>0.24054064276020198</v>
      </c>
      <c r="C185" s="2">
        <v>0.88297078022600162</v>
      </c>
      <c r="D185" s="2">
        <v>1.217075592044158E-3</v>
      </c>
      <c r="E185" s="2">
        <v>3.6491130158109132E-3</v>
      </c>
    </row>
    <row r="186" spans="1:5">
      <c r="A186">
        <v>184</v>
      </c>
      <c r="B186" s="2">
        <v>0.241756851619501</v>
      </c>
      <c r="C186" s="2">
        <v>0.88661706228561299</v>
      </c>
      <c r="D186" s="2">
        <v>1.2153409801471985E-3</v>
      </c>
      <c r="E186" s="2">
        <v>3.6434505634216326E-3</v>
      </c>
    </row>
    <row r="187" spans="1:5">
      <c r="A187">
        <v>185</v>
      </c>
      <c r="B187" s="2">
        <v>0.24297132415333192</v>
      </c>
      <c r="C187" s="2">
        <v>0.8902576810951468</v>
      </c>
      <c r="D187" s="2">
        <v>1.2136029652872159E-3</v>
      </c>
      <c r="E187" s="2">
        <v>3.6377865647918548E-3</v>
      </c>
    </row>
    <row r="188" spans="1:5">
      <c r="A188">
        <v>186</v>
      </c>
      <c r="B188" s="2">
        <v>0.24418405699501949</v>
      </c>
      <c r="C188" s="2">
        <v>0.89389263518202089</v>
      </c>
      <c r="D188" s="2">
        <v>1.2118616201115687E-3</v>
      </c>
      <c r="E188" s="2">
        <v>3.632121167049745E-3</v>
      </c>
    </row>
    <row r="189" spans="1:5">
      <c r="A189">
        <v>187</v>
      </c>
      <c r="B189" s="2">
        <v>0.24539504685063826</v>
      </c>
      <c r="C189" s="2">
        <v>0.8975219232204904</v>
      </c>
      <c r="D189" s="2">
        <v>1.210117017451196E-3</v>
      </c>
      <c r="E189" s="2">
        <v>3.6264545167162244E-3</v>
      </c>
    </row>
    <row r="190" spans="1:5">
      <c r="A190">
        <v>188</v>
      </c>
      <c r="B190" s="2">
        <v>0.24660429049916688</v>
      </c>
      <c r="C190" s="2">
        <v>0.90114554403100855</v>
      </c>
      <c r="D190" s="2">
        <v>1.2083692302701041E-3</v>
      </c>
      <c r="E190" s="2">
        <v>3.6207867596485576E-3</v>
      </c>
    </row>
    <row r="191" spans="1:5">
      <c r="A191">
        <v>189</v>
      </c>
      <c r="B191" s="2">
        <v>0.24781178479259913</v>
      </c>
      <c r="C191" s="2">
        <v>0.90476349657953459</v>
      </c>
      <c r="D191" s="2">
        <v>1.2066183316173738E-3</v>
      </c>
      <c r="E191" s="2">
        <v>3.6151180409871682E-3</v>
      </c>
    </row>
    <row r="192" spans="1:5">
      <c r="A192">
        <v>190</v>
      </c>
      <c r="B192" s="2">
        <v>0.24901752665600432</v>
      </c>
      <c r="C192" s="2">
        <v>0.90837577997679264</v>
      </c>
      <c r="D192" s="2">
        <v>1.2048643945815859E-3</v>
      </c>
      <c r="E192" s="2">
        <v>3.6094485051055549E-3</v>
      </c>
    </row>
    <row r="193" spans="1:5">
      <c r="A193">
        <v>191</v>
      </c>
      <c r="B193" s="2">
        <v>0.25022151308754625</v>
      </c>
      <c r="C193" s="2">
        <v>0.91198239347748289</v>
      </c>
      <c r="D193" s="2">
        <v>1.2031074922475627E-3</v>
      </c>
      <c r="E193" s="2">
        <v>3.6037782955631583E-3</v>
      </c>
    </row>
    <row r="194" spans="1:5">
      <c r="A194">
        <v>192</v>
      </c>
      <c r="B194" s="2">
        <v>0.25142374115845756</v>
      </c>
      <c r="C194" s="2">
        <v>0.91558333647944046</v>
      </c>
      <c r="D194" s="2">
        <v>1.2013476976553245E-3</v>
      </c>
      <c r="E194" s="2">
        <v>3.5981075550610649E-3</v>
      </c>
    </row>
    <row r="195" spans="1:5">
      <c r="A195">
        <v>193</v>
      </c>
      <c r="B195" s="2">
        <v>0.25262420801297508</v>
      </c>
      <c r="C195" s="2">
        <v>0.9191786085227599</v>
      </c>
      <c r="D195" s="2">
        <v>1.1995850837611777E-3</v>
      </c>
      <c r="E195" s="2">
        <v>3.5924364254004203E-3</v>
      </c>
    </row>
    <row r="196" spans="1:5">
      <c r="A196">
        <v>194</v>
      </c>
      <c r="B196" s="2">
        <v>0.25382291086823783</v>
      </c>
      <c r="C196" s="2">
        <v>0.92276820928887393</v>
      </c>
      <c r="D196" s="2">
        <v>1.1978197234008311E-3</v>
      </c>
      <c r="E196" s="2">
        <v>3.5867650474434307E-3</v>
      </c>
    </row>
    <row r="197" spans="1:5">
      <c r="A197">
        <v>195</v>
      </c>
      <c r="B197" s="2">
        <v>0.25501984701414854</v>
      </c>
      <c r="C197" s="2">
        <v>0.92635213859959464</v>
      </c>
      <c r="D197" s="2">
        <v>1.1960516892544678E-3</v>
      </c>
      <c r="E197" s="2">
        <v>3.5810935610768335E-3</v>
      </c>
    </row>
    <row r="198" spans="1:5">
      <c r="A198">
        <v>196</v>
      </c>
      <c r="B198" s="2">
        <v>0.25621501381320133</v>
      </c>
      <c r="C198" s="2">
        <v>0.92993039641612196</v>
      </c>
      <c r="D198" s="2">
        <v>1.1942810538136785E-3</v>
      </c>
      <c r="E198" s="2">
        <v>3.5754221051777558E-3</v>
      </c>
    </row>
    <row r="199" spans="1:5">
      <c r="A199">
        <v>197</v>
      </c>
      <c r="B199" s="2">
        <v>0.25740840870027626</v>
      </c>
      <c r="C199" s="2">
        <v>0.93350298283801769</v>
      </c>
      <c r="D199" s="2">
        <v>1.1925078893501887E-3</v>
      </c>
      <c r="E199" s="2">
        <v>3.5697508175818161E-3</v>
      </c>
    </row>
    <row r="200" spans="1:5">
      <c r="A200">
        <v>198</v>
      </c>
      <c r="B200" s="2">
        <v>0.25860002918240599</v>
      </c>
      <c r="C200" s="2">
        <v>0.93706989810214758</v>
      </c>
      <c r="D200" s="2">
        <v>1.1907322678862923E-3</v>
      </c>
      <c r="E200" s="2">
        <v>3.5640798350534022E-3</v>
      </c>
    </row>
    <row r="201" spans="1:5">
      <c r="A201">
        <v>199</v>
      </c>
      <c r="B201" s="2">
        <v>0.25978987283851124</v>
      </c>
      <c r="C201" s="2">
        <v>0.94063114258159752</v>
      </c>
      <c r="D201" s="2">
        <v>1.1889542611669243E-3</v>
      </c>
      <c r="E201" s="2">
        <v>3.5584092932580127E-3</v>
      </c>
    </row>
    <row r="202" spans="1:5">
      <c r="A202">
        <v>200</v>
      </c>
      <c r="B202" s="2">
        <v>0.26097793731910957</v>
      </c>
      <c r="C202" s="2">
        <v>0.94418671678456156</v>
      </c>
      <c r="D202" s="2">
        <v>1.1871739406333064E-3</v>
      </c>
      <c r="E202" s="2">
        <v>3.5527393267365788E-3</v>
      </c>
    </row>
    <row r="203" spans="1:5">
      <c r="A203">
        <v>201</v>
      </c>
      <c r="B203" s="2">
        <v>0.26216422034599962</v>
      </c>
      <c r="C203" s="2">
        <v>0.94773662135320091</v>
      </c>
      <c r="D203" s="2">
        <v>1.1853913773980881E-3</v>
      </c>
      <c r="E203" s="2">
        <v>3.5470700688816637E-3</v>
      </c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829D-2023-4A3E-8560-284BC0961F28}">
  <sheetPr codeName="Sheet4"/>
  <dimension ref="A1:M2"/>
  <sheetViews>
    <sheetView showGridLines="0" workbookViewId="0">
      <selection activeCell="P6" sqref="P6"/>
    </sheetView>
  </sheetViews>
  <sheetFormatPr defaultRowHeight="11.25"/>
  <cols>
    <col min="1" max="8" width="9.83203125" style="2" customWidth="1"/>
  </cols>
  <sheetData>
    <row r="1" spans="1:13">
      <c r="A1" s="4"/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s="11" customForma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</sheetData>
  <phoneticPr fontId="3"/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変更履歴</vt:lpstr>
      <vt:lpstr>壁体構成</vt:lpstr>
      <vt:lpstr>応答係数</vt:lpstr>
      <vt:lpstr>応答係数Template</vt:lpstr>
      <vt:lpstr>パラメータ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satoh-er</dc:creator>
  <cp:lastModifiedBy>Makoto Satoh</cp:lastModifiedBy>
  <cp:lastPrinted>2015-12-17T05:10:53Z</cp:lastPrinted>
  <dcterms:created xsi:type="dcterms:W3CDTF">2015-11-12T05:00:51Z</dcterms:created>
  <dcterms:modified xsi:type="dcterms:W3CDTF">2022-10-19T09:18:51Z</dcterms:modified>
</cp:coreProperties>
</file>