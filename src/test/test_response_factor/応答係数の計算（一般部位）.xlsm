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toh\Documents\sourcetree\heat_load_calc\src\test\test_response_factor\"/>
    </mc:Choice>
  </mc:AlternateContent>
  <xr:revisionPtr revIDLastSave="0" documentId="13_ncr:1_{59FBB75D-6121-497E-BF82-D26F6B0394FF}" xr6:coauthVersionLast="47" xr6:coauthVersionMax="47" xr10:uidLastSave="{00000000-0000-0000-0000-000000000000}"/>
  <bookViews>
    <workbookView xWindow="10680" yWindow="-120" windowWidth="17475" windowHeight="11295" tabRatio="693" firstSheet="1" activeTab="2" xr2:uid="{00000000-000D-0000-FFFF-FFFF00000000}"/>
  </bookViews>
  <sheets>
    <sheet name="変更履歴" sheetId="144" r:id="rId1"/>
    <sheet name="壁体構成" sheetId="1" r:id="rId2"/>
    <sheet name="応答係数" sheetId="91" r:id="rId3"/>
    <sheet name="応答係数Template" sheetId="1047" r:id="rId4"/>
  </sheets>
  <functionGroups builtInGroupCount="19"/>
  <externalReferences>
    <externalReference r:id="rId5"/>
  </externalReferences>
  <definedNames>
    <definedName name="Approach">#REF!</definedName>
    <definedName name="DetailOut">#REF!</definedName>
    <definedName name="DTime" localSheetId="3">[1]入力データ!$C$2</definedName>
    <definedName name="DTime">#REF!</definedName>
    <definedName name="FFcalcMethod">#REF!</definedName>
    <definedName name="fsolflr">#REF!</definedName>
    <definedName name="Lat">#REF!</definedName>
    <definedName name="Lon">#REF!</definedName>
    <definedName name="Ls">#REF!</definedName>
    <definedName name="NcalTime">#REF!</definedName>
    <definedName name="OTset">#REF!</definedName>
    <definedName name="SimEnDay">#REF!</definedName>
    <definedName name="SimEnMo">#REF!</definedName>
    <definedName name="SimStDay">#REF!</definedName>
    <definedName name="SimStMo">#REF!</definedName>
    <definedName name="パラメータ">壁体構成!$H$1:$O$1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" l="1"/>
  <c r="I1" i="1"/>
  <c r="J1" i="1" s="1"/>
  <c r="K1" i="1" s="1"/>
  <c r="L1" i="1" s="1"/>
  <c r="M1" i="1" s="1"/>
  <c r="N1" i="1" s="1"/>
  <c r="O1" i="1" s="1"/>
  <c r="P1" i="1" s="1"/>
  <c r="Q1" i="1"/>
  <c r="H1" i="1"/>
  <c r="F11" i="1"/>
  <c r="G11" i="1"/>
  <c r="F12" i="1" l="1"/>
  <c r="L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佐藤誠</author>
    <author>satoh</author>
  </authors>
  <commentList>
    <comment ref="D3" authorId="0" shapeId="0" xr:uid="{01A7B5AA-D1B8-4D8D-AD9C-AB73FDD4C7E1}">
      <text>
        <r>
          <rPr>
            <b/>
            <sz val="9"/>
            <color indexed="81"/>
            <rFont val="MS P ゴシック"/>
            <family val="3"/>
            <charset val="128"/>
          </rPr>
          <t>佐藤誠:</t>
        </r>
        <r>
          <rPr>
            <sz val="9"/>
            <color indexed="81"/>
            <rFont val="MS P ゴシック"/>
            <family val="3"/>
            <charset val="128"/>
          </rPr>
          <t xml:space="preserve">
空欄なら定常項とする</t>
        </r>
      </text>
    </comment>
    <comment ref="A4" authorId="1" shapeId="0" xr:uid="{BE9D6446-3089-40F3-8B6A-4AC487BE9905}">
      <text>
        <r>
          <rPr>
            <b/>
            <sz val="9"/>
            <color indexed="81"/>
            <rFont val="ＭＳ Ｐゴシック"/>
            <family val="3"/>
            <charset val="128"/>
          </rPr>
          <t>satoh:</t>
        </r>
        <r>
          <rPr>
            <sz val="9"/>
            <color indexed="81"/>
            <rFont val="ＭＳ Ｐゴシック"/>
            <family val="3"/>
            <charset val="128"/>
          </rPr>
          <t xml:space="preserve">
「床」の文言が含まれるものが床扱い
（透過日射が集中的に吸収される）</t>
        </r>
      </text>
    </comment>
  </commentList>
</comments>
</file>

<file path=xl/sharedStrings.xml><?xml version="1.0" encoding="utf-8"?>
<sst xmlns="http://schemas.openxmlformats.org/spreadsheetml/2006/main" count="58" uniqueCount="54">
  <si>
    <t>日付</t>
    <rPh sb="0" eb="2">
      <t>ヒヅケ</t>
    </rPh>
    <phoneticPr fontId="3"/>
  </si>
  <si>
    <t>[-]</t>
    <phoneticPr fontId="3"/>
  </si>
  <si>
    <t>熱伝導率</t>
    <rPh sb="0" eb="1">
      <t>ネツ</t>
    </rPh>
    <rPh sb="1" eb="4">
      <t>デンドウリツ</t>
    </rPh>
    <phoneticPr fontId="3"/>
  </si>
  <si>
    <t>容積比熱</t>
    <rPh sb="0" eb="2">
      <t>ヨウセキ</t>
    </rPh>
    <rPh sb="2" eb="4">
      <t>ヒネツ</t>
    </rPh>
    <phoneticPr fontId="3"/>
  </si>
  <si>
    <t>厚さ</t>
    <rPh sb="0" eb="1">
      <t>アツ</t>
    </rPh>
    <phoneticPr fontId="3"/>
  </si>
  <si>
    <t>R熱抵抗</t>
    <rPh sb="1" eb="2">
      <t>ネツ</t>
    </rPh>
    <rPh sb="2" eb="4">
      <t>テイコウ</t>
    </rPh>
    <phoneticPr fontId="3"/>
  </si>
  <si>
    <t>C単位面積熱容量</t>
    <rPh sb="1" eb="3">
      <t>タンイ</t>
    </rPh>
    <rPh sb="3" eb="5">
      <t>メンセキ</t>
    </rPh>
    <rPh sb="5" eb="8">
      <t>ネツヨウリョウ</t>
    </rPh>
    <phoneticPr fontId="3"/>
  </si>
  <si>
    <t>[mm]</t>
  </si>
  <si>
    <t>部材</t>
    <rPh sb="0" eb="2">
      <t>ブザイ</t>
    </rPh>
    <phoneticPr fontId="3"/>
  </si>
  <si>
    <t>部位名称</t>
    <rPh sb="0" eb="2">
      <t>ブイ</t>
    </rPh>
    <rPh sb="2" eb="4">
      <t>メイショウ</t>
    </rPh>
    <phoneticPr fontId="3"/>
  </si>
  <si>
    <t>熱貫流率</t>
    <rPh sb="0" eb="1">
      <t>ネツ</t>
    </rPh>
    <rPh sb="1" eb="3">
      <t>カンリュウ</t>
    </rPh>
    <rPh sb="3" eb="4">
      <t>リツ</t>
    </rPh>
    <phoneticPr fontId="3"/>
  </si>
  <si>
    <t>時間間隔</t>
    <rPh sb="0" eb="2">
      <t>ジカン</t>
    </rPh>
    <rPh sb="2" eb="4">
      <t>カンカク</t>
    </rPh>
    <phoneticPr fontId="3"/>
  </si>
  <si>
    <t>s</t>
    <phoneticPr fontId="3"/>
  </si>
  <si>
    <t>作成項数</t>
    <rPh sb="0" eb="2">
      <t>サクセイ</t>
    </rPh>
    <rPh sb="2" eb="4">
      <t>コウスウ</t>
    </rPh>
    <phoneticPr fontId="3"/>
  </si>
  <si>
    <t>時間</t>
    <rPh sb="0" eb="2">
      <t>ジカン</t>
    </rPh>
    <phoneticPr fontId="3"/>
  </si>
  <si>
    <t>[kJ/m3K]</t>
    <phoneticPr fontId="3"/>
  </si>
  <si>
    <t>室外側放射率</t>
    <rPh sb="0" eb="2">
      <t>シツガイ</t>
    </rPh>
    <rPh sb="2" eb="3">
      <t>ガワ</t>
    </rPh>
    <rPh sb="3" eb="6">
      <t>ホウシャリツ</t>
    </rPh>
    <phoneticPr fontId="3"/>
  </si>
  <si>
    <t>室外側日射吸収率</t>
    <rPh sb="0" eb="2">
      <t>シツガイ</t>
    </rPh>
    <rPh sb="2" eb="3">
      <t>ガワ</t>
    </rPh>
    <rPh sb="3" eb="5">
      <t>ニッシャ</t>
    </rPh>
    <rPh sb="5" eb="7">
      <t>キュウシュウ</t>
    </rPh>
    <rPh sb="7" eb="8">
      <t>リツ</t>
    </rPh>
    <phoneticPr fontId="3"/>
  </si>
  <si>
    <t>対象</t>
    <rPh sb="0" eb="2">
      <t>タイショウ</t>
    </rPh>
    <phoneticPr fontId="3"/>
  </si>
  <si>
    <t>内容</t>
    <rPh sb="0" eb="2">
      <t>ナイヨウ</t>
    </rPh>
    <phoneticPr fontId="3"/>
  </si>
  <si>
    <t>室内放射熱伝達率</t>
    <rPh sb="0" eb="2">
      <t>シツナイ</t>
    </rPh>
    <rPh sb="2" eb="4">
      <t>ホウシャ</t>
    </rPh>
    <rPh sb="4" eb="8">
      <t>ネツデンタツリツ</t>
    </rPh>
    <phoneticPr fontId="3"/>
  </si>
  <si>
    <t>[W/(m2･K)]</t>
    <phoneticPr fontId="3"/>
  </si>
  <si>
    <t>室内対流熱伝達率</t>
    <rPh sb="0" eb="2">
      <t>シツナイ</t>
    </rPh>
    <rPh sb="2" eb="4">
      <t>タイリュウ</t>
    </rPh>
    <rPh sb="4" eb="8">
      <t>ネツデンタツリツ</t>
    </rPh>
    <phoneticPr fontId="3"/>
  </si>
  <si>
    <t>[m2K/W]</t>
    <phoneticPr fontId="3"/>
  </si>
  <si>
    <t>[W/mK]</t>
    <phoneticPr fontId="3"/>
  </si>
  <si>
    <t>[kJ/m2K]</t>
    <phoneticPr fontId="3"/>
  </si>
  <si>
    <t>貫流応答（単位）</t>
  </si>
  <si>
    <t>吸熱応答（単位）</t>
  </si>
  <si>
    <t>貫流応答（二等辺三角）</t>
  </si>
  <si>
    <t>吸熱応答（二等辺三角）</t>
  </si>
  <si>
    <t>根（α）</t>
  </si>
  <si>
    <t>公比</t>
  </si>
  <si>
    <t>指数項別貫流応答</t>
  </si>
  <si>
    <t>指数項別吸熱応答</t>
  </si>
  <si>
    <t>固定根α</t>
    <rPh sb="0" eb="2">
      <t>コテイ</t>
    </rPh>
    <rPh sb="2" eb="3">
      <t>コン</t>
    </rPh>
    <phoneticPr fontId="3"/>
  </si>
  <si>
    <t>ラプラス変数s</t>
    <rPh sb="4" eb="6">
      <t>ヘンスウ</t>
    </rPh>
    <phoneticPr fontId="3"/>
  </si>
  <si>
    <t>↑ラプラス変数が空欄の場合は、固定根から等比数列によってラプラス変数を生成する</t>
    <rPh sb="5" eb="7">
      <t>ヘンスウ</t>
    </rPh>
    <rPh sb="8" eb="10">
      <t>クウラン</t>
    </rPh>
    <rPh sb="11" eb="13">
      <t>バアイ</t>
    </rPh>
    <rPh sb="15" eb="17">
      <t>コテイ</t>
    </rPh>
    <rPh sb="17" eb="18">
      <t>コン</t>
    </rPh>
    <rPh sb="20" eb="22">
      <t>トウヒ</t>
    </rPh>
    <rPh sb="22" eb="24">
      <t>スウレツ</t>
    </rPh>
    <rPh sb="32" eb="34">
      <t>ヘンスウ</t>
    </rPh>
    <rPh sb="35" eb="37">
      <t>セイセイ</t>
    </rPh>
    <phoneticPr fontId="3"/>
  </si>
  <si>
    <t>A0周期</t>
    <rPh sb="2" eb="4">
      <t>シュウキ</t>
    </rPh>
    <phoneticPr fontId="3"/>
  </si>
  <si>
    <t>全体</t>
    <rPh sb="0" eb="2">
      <t>ゼンタイ</t>
    </rPh>
    <phoneticPr fontId="3"/>
  </si>
  <si>
    <t>応答係数を計算する部分を抜粋</t>
    <rPh sb="0" eb="2">
      <t>オウトウ</t>
    </rPh>
    <rPh sb="2" eb="4">
      <t>ケイスウ</t>
    </rPh>
    <rPh sb="5" eb="7">
      <t>ケイサン</t>
    </rPh>
    <rPh sb="9" eb="11">
      <t>ブブン</t>
    </rPh>
    <rPh sb="12" eb="14">
      <t>バッスイ</t>
    </rPh>
    <phoneticPr fontId="3"/>
  </si>
  <si>
    <t>石こうボード</t>
    <rPh sb="0" eb="1">
      <t>セッ</t>
    </rPh>
    <phoneticPr fontId="3"/>
  </si>
  <si>
    <t>非密閉中空層</t>
    <rPh sb="0" eb="1">
      <t>ヒ</t>
    </rPh>
    <rPh sb="1" eb="3">
      <t>ミッペイ</t>
    </rPh>
    <rPh sb="3" eb="6">
      <t>チュウクウソウ</t>
    </rPh>
    <phoneticPr fontId="3"/>
  </si>
  <si>
    <t>コンクリート</t>
    <phoneticPr fontId="3"/>
  </si>
  <si>
    <t>押出法ポリスチレンフォーム保温板2種</t>
    <rPh sb="0" eb="2">
      <t>オシダシ</t>
    </rPh>
    <rPh sb="2" eb="3">
      <t>ホウ</t>
    </rPh>
    <rPh sb="13" eb="16">
      <t>ホオンバン</t>
    </rPh>
    <rPh sb="17" eb="18">
      <t>シュ</t>
    </rPh>
    <phoneticPr fontId="3"/>
  </si>
  <si>
    <t>室外側熱伝達率</t>
    <rPh sb="0" eb="2">
      <t>シツガイ</t>
    </rPh>
    <rPh sb="2" eb="3">
      <t>ガワ</t>
    </rPh>
    <rPh sb="3" eb="7">
      <t>ネツデンタツリツ</t>
    </rPh>
    <phoneticPr fontId="3"/>
  </si>
  <si>
    <t>パラメータAT</t>
  </si>
  <si>
    <t>パラメータAA</t>
  </si>
  <si>
    <t>ラプラス変数</t>
  </si>
  <si>
    <t>伝達関数GT</t>
  </si>
  <si>
    <t>伝達関数GA</t>
  </si>
  <si>
    <t>壁体</t>
  </si>
  <si>
    <t>壁体</t>
    <rPh sb="0" eb="2">
      <t>ヘキタイ</t>
    </rPh>
    <phoneticPr fontId="3"/>
  </si>
  <si>
    <t>モルタル</t>
    <phoneticPr fontId="3"/>
  </si>
  <si>
    <t>公比</t>
    <rPh sb="0" eb="2">
      <t>コウヒ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</si>
</sst>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000"/>
    <numFmt numFmtId="177" formatCode="0.000"/>
    <numFmt numFmtId="178" formatCode="yyyy/m/d;@"/>
    <numFmt numFmtId="179" formatCode="0.0000E+00"/>
    <numFmt numFmtId="180" formatCode="0.000000"/>
    <numFmt numFmtId="181" formatCode="0.0000000000"/>
  </numFmts>
  <fonts count="13">
    <font>
      <sz val="9"/>
      <color theme="1"/>
      <name val="ＭＳ Ｐゴシック"/>
      <family val="2"/>
      <charset val="128"/>
      <scheme val="minor"/>
    </font>
    <font>
      <sz val="9"/>
      <color theme="1"/>
      <name val="ＭＳ Ｐゴシック"/>
      <family val="2"/>
      <charset val="128"/>
      <scheme val="minor"/>
    </font>
    <font>
      <sz val="9"/>
      <color rgb="FFFF000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color indexed="8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color theme="1" tint="0.34998626667073579"/>
      <name val="ＭＳ Ｐゴシック"/>
      <family val="2"/>
      <charset val="128"/>
      <scheme val="minor"/>
    </font>
    <font>
      <sz val="9"/>
      <color theme="1" tint="0.34998626667073579"/>
      <name val="ＭＳ Ｐゴシック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8" fillId="0" borderId="0" applyFont="0" applyFill="0" applyBorder="0" applyAlignment="0" applyProtection="0"/>
    <xf numFmtId="38" fontId="8" fillId="0" borderId="0" applyFont="0" applyFill="0" applyBorder="0" applyAlignment="0" applyProtection="0"/>
    <xf numFmtId="38" fontId="6" fillId="0" borderId="0" applyFont="0" applyFill="0" applyBorder="0" applyAlignment="0" applyProtection="0">
      <alignment vertical="center"/>
    </xf>
    <xf numFmtId="38" fontId="6" fillId="0" borderId="0" applyFont="0" applyFill="0" applyBorder="0" applyAlignment="0" applyProtection="0">
      <alignment vertical="center"/>
    </xf>
    <xf numFmtId="38" fontId="8" fillId="0" borderId="0" applyFont="0" applyFill="0" applyBorder="0" applyAlignment="0" applyProtection="0"/>
    <xf numFmtId="38" fontId="8" fillId="0" borderId="0" applyFont="0" applyFill="0" applyBorder="0" applyAlignment="0" applyProtection="0">
      <alignment vertical="center"/>
    </xf>
    <xf numFmtId="38" fontId="7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8" fillId="0" borderId="0">
      <alignment vertical="center"/>
    </xf>
    <xf numFmtId="0" fontId="8" fillId="0" borderId="0"/>
  </cellStyleXfs>
  <cellXfs count="33">
    <xf numFmtId="0" fontId="0" fillId="0" borderId="0" xfId="0">
      <alignment vertical="center"/>
    </xf>
    <xf numFmtId="0" fontId="0" fillId="2" borderId="4" xfId="0" applyFill="1" applyBorder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1" xfId="0" applyBorder="1">
      <alignment vertical="center"/>
    </xf>
    <xf numFmtId="0" fontId="9" fillId="2" borderId="1" xfId="0" applyFont="1" applyFill="1" applyBorder="1" applyAlignment="1">
      <alignment horizontal="centerContinuous" vertical="center"/>
    </xf>
    <xf numFmtId="0" fontId="10" fillId="2" borderId="1" xfId="0" applyFont="1" applyFill="1" applyBorder="1" applyAlignment="1">
      <alignment horizontal="centerContinuous"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4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0" xfId="0" applyAlignment="1">
      <alignment vertical="center" wrapText="1"/>
    </xf>
    <xf numFmtId="0" fontId="0" fillId="2" borderId="3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10" fillId="2" borderId="1" xfId="0" applyFont="1" applyFill="1" applyBorder="1" applyAlignment="1">
      <alignment horizontal="centerContinuous" vertical="center" wrapText="1"/>
    </xf>
    <xf numFmtId="0" fontId="0" fillId="2" borderId="1" xfId="0" applyFill="1" applyBorder="1">
      <alignment vertical="center"/>
    </xf>
    <xf numFmtId="0" fontId="0" fillId="2" borderId="1" xfId="0" applyFill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2" fontId="0" fillId="3" borderId="4" xfId="0" applyNumberFormat="1" applyFill="1" applyBorder="1" applyAlignment="1">
      <alignment horizontal="centerContinuous" vertical="center"/>
    </xf>
    <xf numFmtId="0" fontId="0" fillId="0" borderId="1" xfId="0" applyFill="1" applyBorder="1" applyAlignment="1">
      <alignment vertical="center" wrapText="1"/>
    </xf>
    <xf numFmtId="178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178" fontId="0" fillId="0" borderId="0" xfId="0" applyNumberFormat="1">
      <alignment vertical="center"/>
    </xf>
    <xf numFmtId="0" fontId="2" fillId="0" borderId="0" xfId="0" applyFont="1">
      <alignment vertical="center"/>
    </xf>
    <xf numFmtId="179" fontId="0" fillId="0" borderId="0" xfId="0" applyNumberFormat="1">
      <alignment vertical="center"/>
    </xf>
    <xf numFmtId="179" fontId="0" fillId="0" borderId="5" xfId="0" applyNumberFormat="1" applyBorder="1">
      <alignment vertical="center"/>
    </xf>
    <xf numFmtId="0" fontId="0" fillId="0" borderId="1" xfId="0" applyNumberFormat="1" applyBorder="1">
      <alignment vertical="center"/>
    </xf>
    <xf numFmtId="0" fontId="0" fillId="0" borderId="3" xfId="0" applyFill="1" applyBorder="1">
      <alignment vertical="center"/>
    </xf>
    <xf numFmtId="0" fontId="0" fillId="0" borderId="1" xfId="0" applyNumberFormat="1" applyFill="1" applyBorder="1">
      <alignment vertical="center"/>
    </xf>
    <xf numFmtId="2" fontId="0" fillId="0" borderId="3" xfId="0" applyNumberFormat="1" applyFill="1" applyBorder="1" applyAlignment="1">
      <alignment horizontal="centerContinuous" vertical="center"/>
    </xf>
    <xf numFmtId="177" fontId="0" fillId="0" borderId="0" xfId="0" applyNumberFormat="1">
      <alignment vertical="center"/>
    </xf>
    <xf numFmtId="180" fontId="0" fillId="0" borderId="1" xfId="1" applyNumberFormat="1" applyFont="1" applyBorder="1">
      <alignment vertical="center"/>
    </xf>
    <xf numFmtId="181" fontId="0" fillId="0" borderId="1" xfId="0" applyNumberFormat="1" applyBorder="1">
      <alignment vertical="center"/>
    </xf>
  </cellXfs>
  <cellStyles count="17">
    <cellStyle name="パーセント 2" xfId="3" xr:uid="{00000000-0005-0000-0000-000000000000}"/>
    <cellStyle name="桁区切り" xfId="1" builtinId="6"/>
    <cellStyle name="桁区切り 2" xfId="4" xr:uid="{00000000-0005-0000-0000-000002000000}"/>
    <cellStyle name="桁区切り 2 2" xfId="5" xr:uid="{00000000-0005-0000-0000-000003000000}"/>
    <cellStyle name="桁区切り 2 2 2" xfId="6" xr:uid="{00000000-0005-0000-0000-000004000000}"/>
    <cellStyle name="桁区切り 2 3" xfId="7" xr:uid="{00000000-0005-0000-0000-000005000000}"/>
    <cellStyle name="桁区切り 3" xfId="8" xr:uid="{00000000-0005-0000-0000-000006000000}"/>
    <cellStyle name="桁区切り 4" xfId="9" xr:uid="{00000000-0005-0000-0000-000007000000}"/>
    <cellStyle name="標準" xfId="0" builtinId="0"/>
    <cellStyle name="標準 10" xfId="10" xr:uid="{00000000-0005-0000-0000-000009000000}"/>
    <cellStyle name="標準 11" xfId="11" xr:uid="{00000000-0005-0000-0000-00000A000000}"/>
    <cellStyle name="標準 12" xfId="12" xr:uid="{00000000-0005-0000-0000-00000B000000}"/>
    <cellStyle name="標準 2" xfId="13" xr:uid="{00000000-0005-0000-0000-00000C000000}"/>
    <cellStyle name="標準 2 2" xfId="14" xr:uid="{00000000-0005-0000-0000-00000D000000}"/>
    <cellStyle name="標準 3" xfId="15" xr:uid="{00000000-0005-0000-0000-00000E000000}"/>
    <cellStyle name="標準 4" xfId="2" xr:uid="{00000000-0005-0000-0000-00000F000000}"/>
    <cellStyle name="標準 9" xfId="16" xr:uid="{00000000-0005-0000-0000-000010000000}"/>
  </cellStyles>
  <dxfs count="7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FF99CC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応答係数!$AX$2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応答係数!$AX$3:$AX$803</c:f>
              <c:numCache>
                <c:formatCode>General</c:formatCode>
                <c:ptCount val="80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4F-43CB-8212-0E2DB5FB38FE}"/>
            </c:ext>
          </c:extLst>
        </c:ser>
        <c:ser>
          <c:idx val="1"/>
          <c:order val="1"/>
          <c:tx>
            <c:strRef>
              <c:f>応答係数!$AY$2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応答係数!$AY$3:$AY$803</c:f>
              <c:numCache>
                <c:formatCode>General</c:formatCode>
                <c:ptCount val="80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E4F-43CB-8212-0E2DB5FB38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2560696"/>
        <c:axId val="722557416"/>
      </c:lineChart>
      <c:catAx>
        <c:axId val="7225606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22557416"/>
        <c:crosses val="autoZero"/>
        <c:auto val="1"/>
        <c:lblAlgn val="ctr"/>
        <c:lblOffset val="100"/>
        <c:noMultiLvlLbl val="0"/>
      </c:catAx>
      <c:valAx>
        <c:axId val="722557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22560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応答係数!$C$2</c:f>
              <c:strCache>
                <c:ptCount val="1"/>
                <c:pt idx="0">
                  <c:v>吸熱応答（単位）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応答係数!$A$3:$A$4003</c:f>
              <c:numCache>
                <c:formatCode>General</c:formatCode>
                <c:ptCount val="40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</c:numCache>
            </c:numRef>
          </c:xVal>
          <c:yVal>
            <c:numRef>
              <c:f>応答係数!$C$3:$C$4003</c:f>
              <c:numCache>
                <c:formatCode>0.0000</c:formatCode>
                <c:ptCount val="4001"/>
                <c:pt idx="0">
                  <c:v>1.1005025148803416E-2</c:v>
                </c:pt>
                <c:pt idx="1">
                  <c:v>9.1237128362886263E-2</c:v>
                </c:pt>
                <c:pt idx="2">
                  <c:v>0.11741966830528838</c:v>
                </c:pt>
                <c:pt idx="3">
                  <c:v>0.12966439689167092</c:v>
                </c:pt>
                <c:pt idx="4">
                  <c:v>0.13763915467046353</c:v>
                </c:pt>
                <c:pt idx="5">
                  <c:v>0.14395345385042033</c:v>
                </c:pt>
                <c:pt idx="6">
                  <c:v>0.14947319025828978</c:v>
                </c:pt>
                <c:pt idx="7">
                  <c:v>0.15456816531341069</c:v>
                </c:pt>
                <c:pt idx="8">
                  <c:v>0.15942973192296528</c:v>
                </c:pt>
                <c:pt idx="9">
                  <c:v>0.16416668466228787</c:v>
                </c:pt>
                <c:pt idx="10">
                  <c:v>0.16884256362982186</c:v>
                </c:pt>
                <c:pt idx="11">
                  <c:v>0.17349407855693019</c:v>
                </c:pt>
                <c:pt idx="12">
                  <c:v>0.17814161864415745</c:v>
                </c:pt>
                <c:pt idx="13">
                  <c:v>0.18279563885089303</c:v>
                </c:pt>
                <c:pt idx="14">
                  <c:v>0.1874606260548729</c:v>
                </c:pt>
                <c:pt idx="15">
                  <c:v>0.19213757218692809</c:v>
                </c:pt>
                <c:pt idx="16">
                  <c:v>0.19682550995612141</c:v>
                </c:pt>
                <c:pt idx="17">
                  <c:v>0.20152245733170021</c:v>
                </c:pt>
                <c:pt idx="18">
                  <c:v>0.206225989450188</c:v>
                </c:pt>
                <c:pt idx="19">
                  <c:v>0.21093357664396845</c:v>
                </c:pt>
                <c:pt idx="20">
                  <c:v>0.21564277658867351</c:v>
                </c:pt>
                <c:pt idx="21">
                  <c:v>0.22035133631636758</c:v>
                </c:pt>
                <c:pt idx="22">
                  <c:v>0.22505723931327465</c:v>
                </c:pt>
                <c:pt idx="23">
                  <c:v>0.22975871986073737</c:v>
                </c:pt>
                <c:pt idx="24">
                  <c:v>0.23445425847937265</c:v>
                </c:pt>
                <c:pt idx="25">
                  <c:v>0.23914256707285958</c:v>
                </c:pt>
                <c:pt idx="26">
                  <c:v>0.24382256903818011</c:v>
                </c:pt>
                <c:pt idx="27">
                  <c:v>0.24849337751058698</c:v>
                </c:pt>
                <c:pt idx="28">
                  <c:v>0.2531542735958674</c:v>
                </c:pt>
                <c:pt idx="29">
                  <c:v>0.25780468562360015</c:v>
                </c:pt>
                <c:pt idx="30">
                  <c:v>0.26244416995093517</c:v>
                </c:pt>
                <c:pt idx="31">
                  <c:v>0.26707239354084072</c:v>
                </c:pt>
                <c:pt idx="32">
                  <c:v>0.27168911835798815</c:v>
                </c:pt>
                <c:pt idx="33">
                  <c:v>0.27629418752256962</c:v>
                </c:pt>
                <c:pt idx="34">
                  <c:v>0.28088751310761578</c:v>
                </c:pt>
                <c:pt idx="35">
                  <c:v>0.28546906544008621</c:v>
                </c:pt>
                <c:pt idx="36">
                  <c:v>0.29003886375822496</c:v>
                </c:pt>
                <c:pt idx="37">
                  <c:v>0.29459696808007391</c:v>
                </c:pt>
                <c:pt idx="38">
                  <c:v>0.29914347214602249</c:v>
                </c:pt>
                <c:pt idx="39">
                  <c:v>0.3036784973089483</c:v>
                </c:pt>
                <c:pt idx="40">
                  <c:v>0.30820218725728482</c:v>
                </c:pt>
                <c:pt idx="41">
                  <c:v>0.31271470346815511</c:v>
                </c:pt>
                <c:pt idx="42">
                  <c:v>0.31721622129899191</c:v>
                </c:pt>
                <c:pt idx="43">
                  <c:v>0.32170692663658879</c:v>
                </c:pt>
                <c:pt idx="44">
                  <c:v>0.32618701303208419</c:v>
                </c:pt>
                <c:pt idx="45">
                  <c:v>0.33065667925901959</c:v>
                </c:pt>
                <c:pt idx="46">
                  <c:v>0.335116127239314</c:v>
                </c:pt>
                <c:pt idx="47">
                  <c:v>0.33956556028881979</c:v>
                </c:pt>
                <c:pt idx="48">
                  <c:v>0.34400518164019311</c:v>
                </c:pt>
                <c:pt idx="49">
                  <c:v>0.34843519320610772</c:v>
                </c:pt>
                <c:pt idx="50">
                  <c:v>0.3528557945505395</c:v>
                </c:pt>
                <c:pt idx="51">
                  <c:v>0.35726718203993979</c:v>
                </c:pt>
                <c:pt idx="52">
                  <c:v>0.36166954814972363</c:v>
                </c:pt>
                <c:pt idx="53">
                  <c:v>0.36606308090464357</c:v>
                </c:pt>
                <c:pt idx="54">
                  <c:v>0.37044796343438918</c:v>
                </c:pt>
                <c:pt idx="55">
                  <c:v>0.3748243736281332</c:v>
                </c:pt>
                <c:pt idx="56">
                  <c:v>0.37919248387389753</c:v>
                </c:pt>
                <c:pt idx="57">
                  <c:v>0.38355246087041095</c:v>
                </c:pt>
                <c:pt idx="58">
                  <c:v>0.38790446550076946</c:v>
                </c:pt>
                <c:pt idx="59">
                  <c:v>0.39224865275859233</c:v>
                </c:pt>
                <c:pt idx="60">
                  <c:v>0.39658517171862107</c:v>
                </c:pt>
                <c:pt idx="61">
                  <c:v>0.40091416554474213</c:v>
                </c:pt>
                <c:pt idx="62">
                  <c:v>0.40523577152938295</c:v>
                </c:pt>
                <c:pt idx="63">
                  <c:v>0.4095501211590325</c:v>
                </c:pt>
                <c:pt idx="64">
                  <c:v>0.41385734020132642</c:v>
                </c:pt>
                <c:pt idx="65">
                  <c:v>0.41815754880980877</c:v>
                </c:pt>
                <c:pt idx="66">
                  <c:v>0.42245086164296225</c:v>
                </c:pt>
                <c:pt idx="67">
                  <c:v>0.42673738799460448</c:v>
                </c:pt>
                <c:pt idx="68">
                  <c:v>0.43101723193316499</c:v>
                </c:pt>
                <c:pt idx="69">
                  <c:v>0.43529049244766649</c:v>
                </c:pt>
                <c:pt idx="70">
                  <c:v>0.43955726359861091</c:v>
                </c:pt>
                <c:pt idx="71">
                  <c:v>0.44381763467218172</c:v>
                </c:pt>
                <c:pt idx="72">
                  <c:v>0.44807169033643657</c:v>
                </c:pt>
                <c:pt idx="73">
                  <c:v>0.45231951079837157</c:v>
                </c:pt>
                <c:pt idx="74">
                  <c:v>0.45656117196088908</c:v>
                </c:pt>
                <c:pt idx="75">
                  <c:v>0.46079674557889333</c:v>
                </c:pt>
                <c:pt idx="76">
                  <c:v>0.46502629941382173</c:v>
                </c:pt>
                <c:pt idx="77">
                  <c:v>0.46924989738608341</c:v>
                </c:pt>
                <c:pt idx="78">
                  <c:v>0.47346759972493641</c:v>
                </c:pt>
                <c:pt idx="79">
                  <c:v>0.47767946311544368</c:v>
                </c:pt>
                <c:pt idx="80">
                  <c:v>0.48188554084221841</c:v>
                </c:pt>
                <c:pt idx="81">
                  <c:v>0.48608588292970978</c:v>
                </c:pt>
                <c:pt idx="82">
                  <c:v>0.49028053627888074</c:v>
                </c:pt>
                <c:pt idx="83">
                  <c:v>0.49446954480011601</c:v>
                </c:pt>
                <c:pt idx="84">
                  <c:v>0.49865294954230499</c:v>
                </c:pt>
                <c:pt idx="85">
                  <c:v>0.50283078881800636</c:v>
                </c:pt>
                <c:pt idx="86">
                  <c:v>0.50700309832470103</c:v>
                </c:pt>
                <c:pt idx="87">
                  <c:v>0.51116991126209887</c:v>
                </c:pt>
                <c:pt idx="88">
                  <c:v>0.51533125844554672</c:v>
                </c:pt>
                <c:pt idx="89">
                  <c:v>0.51948716841553866</c:v>
                </c:pt>
                <c:pt idx="90">
                  <c:v>0.52363766754340857</c:v>
                </c:pt>
                <c:pt idx="91">
                  <c:v>0.52778278013323754</c:v>
                </c:pt>
                <c:pt idx="92">
                  <c:v>0.53192252852006505</c:v>
                </c:pt>
                <c:pt idx="93">
                  <c:v>0.53605693316446423</c:v>
                </c:pt>
                <c:pt idx="94">
                  <c:v>0.54018601274357947</c:v>
                </c:pt>
                <c:pt idx="95">
                  <c:v>0.54430978423870335</c:v>
                </c:pt>
                <c:pt idx="96">
                  <c:v>0.54842826301947933</c:v>
                </c:pt>
                <c:pt idx="97">
                  <c:v>0.55254146292484008</c:v>
                </c:pt>
                <c:pt idx="98">
                  <c:v>0.55664939634076149</c:v>
                </c:pt>
                <c:pt idx="99">
                  <c:v>0.56075207427493146</c:v>
                </c:pt>
                <c:pt idx="100">
                  <c:v>0.56484950642843523</c:v>
                </c:pt>
                <c:pt idx="101">
                  <c:v>0.56894170126454169</c:v>
                </c:pt>
                <c:pt idx="102">
                  <c:v>0.57302866607469916</c:v>
                </c:pt>
                <c:pt idx="103">
                  <c:v>0.57711040704182337</c:v>
                </c:pt>
                <c:pt idx="104">
                  <c:v>0.58118692930097449</c:v>
                </c:pt>
                <c:pt idx="105">
                  <c:v>0.58525823699752022</c:v>
                </c:pt>
                <c:pt idx="106">
                  <c:v>0.58932433334285494</c:v>
                </c:pt>
                <c:pt idx="107">
                  <c:v>0.59338522066779442</c:v>
                </c:pt>
                <c:pt idx="108">
                  <c:v>0.5974409004736918</c:v>
                </c:pt>
                <c:pt idx="109">
                  <c:v>0.60149137348139525</c:v>
                </c:pt>
                <c:pt idx="110">
                  <c:v>0.60553663967809945</c:v>
                </c:pt>
                <c:pt idx="111">
                  <c:v>0.60957669836218642</c:v>
                </c:pt>
                <c:pt idx="112">
                  <c:v>0.61361154818612629</c:v>
                </c:pt>
                <c:pt idx="113">
                  <c:v>0.61764118719751215</c:v>
                </c:pt>
                <c:pt idx="114">
                  <c:v>0.62166561287829447</c:v>
                </c:pt>
                <c:pt idx="115">
                  <c:v>0.62568482218230226</c:v>
                </c:pt>
                <c:pt idx="116">
                  <c:v>0.62969881157109364</c:v>
                </c:pt>
                <c:pt idx="117">
                  <c:v>0.63370757704822367</c:v>
                </c:pt>
                <c:pt idx="118">
                  <c:v>0.63771111419196891</c:v>
                </c:pt>
                <c:pt idx="119">
                  <c:v>0.64170941818659744</c:v>
                </c:pt>
                <c:pt idx="120">
                  <c:v>0.64570248385221318</c:v>
                </c:pt>
                <c:pt idx="121">
                  <c:v>0.64969030567324704</c:v>
                </c:pt>
                <c:pt idx="122">
                  <c:v>0.65367287782565386</c:v>
                </c:pt>
                <c:pt idx="123">
                  <c:v>0.65765019420285142</c:v>
                </c:pt>
                <c:pt idx="124">
                  <c:v>0.66162224844045814</c:v>
                </c:pt>
                <c:pt idx="125">
                  <c:v>0.66558903393989322</c:v>
                </c:pt>
                <c:pt idx="126">
                  <c:v>0.66955054389085567</c:v>
                </c:pt>
                <c:pt idx="127">
                  <c:v>0.67350677129275538</c:v>
                </c:pt>
                <c:pt idx="128">
                  <c:v>0.67745770897512381</c:v>
                </c:pt>
                <c:pt idx="129">
                  <c:v>0.68140334961704652</c:v>
                </c:pt>
                <c:pt idx="130">
                  <c:v>0.68534368576567273</c:v>
                </c:pt>
                <c:pt idx="131">
                  <c:v>0.68927870985380835</c:v>
                </c:pt>
                <c:pt idx="132">
                  <c:v>0.69320841421667279</c:v>
                </c:pt>
                <c:pt idx="133">
                  <c:v>0.69713279110781379</c:v>
                </c:pt>
                <c:pt idx="134">
                  <c:v>0.70105183271423832</c:v>
                </c:pt>
                <c:pt idx="135">
                  <c:v>0.70496553117078986</c:v>
                </c:pt>
                <c:pt idx="136">
                  <c:v>0.7088738785737988</c:v>
                </c:pt>
                <c:pt idx="137">
                  <c:v>0.71277686699403131</c:v>
                </c:pt>
                <c:pt idx="138">
                  <c:v>0.71667448848898008</c:v>
                </c:pt>
                <c:pt idx="139">
                  <c:v>0.72056673511451197</c:v>
                </c:pt>
                <c:pt idx="140">
                  <c:v>0.72445359893590777</c:v>
                </c:pt>
                <c:pt idx="141">
                  <c:v>0.7283350720383156</c:v>
                </c:pt>
                <c:pt idx="142">
                  <c:v>0.73221114653664043</c:v>
                </c:pt>
                <c:pt idx="143">
                  <c:v>0.73608181458489841</c:v>
                </c:pt>
                <c:pt idx="144">
                  <c:v>0.73994706838506175</c:v>
                </c:pt>
                <c:pt idx="145">
                  <c:v>0.74380690019540474</c:v>
                </c:pt>
                <c:pt idx="146">
                  <c:v>0.74766130233837924</c:v>
                </c:pt>
                <c:pt idx="147">
                  <c:v>0.75151026720804848</c:v>
                </c:pt>
                <c:pt idx="148">
                  <c:v>0.75535378727707514</c:v>
                </c:pt>
                <c:pt idx="149">
                  <c:v>0.75919185510330811</c:v>
                </c:pt>
                <c:pt idx="150">
                  <c:v>0.76302446333596774</c:v>
                </c:pt>
                <c:pt idx="151">
                  <c:v>0.76685160472146041</c:v>
                </c:pt>
                <c:pt idx="152">
                  <c:v>0.77067327210881986</c:v>
                </c:pt>
                <c:pt idx="153">
                  <c:v>0.77448945845481898</c:v>
                </c:pt>
                <c:pt idx="154">
                  <c:v>0.77830015682873555</c:v>
                </c:pt>
                <c:pt idx="155">
                  <c:v>0.78210536041681333</c:v>
                </c:pt>
                <c:pt idx="156">
                  <c:v>0.78590506252641867</c:v>
                </c:pt>
                <c:pt idx="157">
                  <c:v>0.78969925658990447</c:v>
                </c:pt>
                <c:pt idx="158">
                  <c:v>0.79348793616820523</c:v>
                </c:pt>
                <c:pt idx="159">
                  <c:v>0.79727109495416437</c:v>
                </c:pt>
                <c:pt idx="160">
                  <c:v>0.80104872677561001</c:v>
                </c:pt>
                <c:pt idx="161">
                  <c:v>0.80482082559819901</c:v>
                </c:pt>
                <c:pt idx="162">
                  <c:v>0.80858738552801701</c:v>
                </c:pt>
                <c:pt idx="163">
                  <c:v>0.81234840081397497</c:v>
                </c:pt>
                <c:pt idx="164">
                  <c:v>0.81610386584999062</c:v>
                </c:pt>
                <c:pt idx="165">
                  <c:v>0.819853775176966</c:v>
                </c:pt>
                <c:pt idx="166">
                  <c:v>0.82359812348458605</c:v>
                </c:pt>
                <c:pt idx="167">
                  <c:v>0.82733690561292861</c:v>
                </c:pt>
                <c:pt idx="168">
                  <c:v>0.83107011655390539</c:v>
                </c:pt>
                <c:pt idx="169">
                  <c:v>0.83479775145253554</c:v>
                </c:pt>
                <c:pt idx="170">
                  <c:v>0.83851980560806638</c:v>
                </c:pt>
                <c:pt idx="171">
                  <c:v>0.8422362744749452</c:v>
                </c:pt>
                <c:pt idx="172">
                  <c:v>0.84594715366364437</c:v>
                </c:pt>
                <c:pt idx="173">
                  <c:v>0.849652438941358</c:v>
                </c:pt>
                <c:pt idx="174">
                  <c:v>0.85335212623256496</c:v>
                </c:pt>
                <c:pt idx="175">
                  <c:v>0.85704621161947381</c:v>
                </c:pt>
                <c:pt idx="176">
                  <c:v>0.86073469134234859</c:v>
                </c:pt>
                <c:pt idx="177">
                  <c:v>0.86441756179972784</c:v>
                </c:pt>
                <c:pt idx="178">
                  <c:v>0.86809481954853396</c:v>
                </c:pt>
                <c:pt idx="179">
                  <c:v>0.87176646130408886</c:v>
                </c:pt>
                <c:pt idx="180">
                  <c:v>0.87543248394003181</c:v>
                </c:pt>
                <c:pt idx="181">
                  <c:v>0.87909288448814826</c:v>
                </c:pt>
                <c:pt idx="182">
                  <c:v>0.88274766013811712</c:v>
                </c:pt>
                <c:pt idx="183">
                  <c:v>0.88639680823716971</c:v>
                </c:pt>
                <c:pt idx="184">
                  <c:v>0.89004032628968621</c:v>
                </c:pt>
                <c:pt idx="185">
                  <c:v>0.8936782119567056</c:v>
                </c:pt>
                <c:pt idx="186">
                  <c:v>0.89731046305537809</c:v>
                </c:pt>
                <c:pt idx="187">
                  <c:v>0.9009370775583504</c:v>
                </c:pt>
                <c:pt idx="188">
                  <c:v>0.90455805359308561</c:v>
                </c:pt>
                <c:pt idx="189">
                  <c:v>0.9081733894411379</c:v>
                </c:pt>
                <c:pt idx="190">
                  <c:v>0.91178308353735826</c:v>
                </c:pt>
                <c:pt idx="191">
                  <c:v>0.91538713446906161</c:v>
                </c:pt>
                <c:pt idx="192">
                  <c:v>0.91898554097514107</c:v>
                </c:pt>
                <c:pt idx="193">
                  <c:v>0.92257830194514057</c:v>
                </c:pt>
                <c:pt idx="194">
                  <c:v>0.92616541641827799</c:v>
                </c:pt>
                <c:pt idx="195">
                  <c:v>0.92974688358244006</c:v>
                </c:pt>
                <c:pt idx="196">
                  <c:v>0.93332270277313201</c:v>
                </c:pt>
                <c:pt idx="197">
                  <c:v>0.9368928734723968</c:v>
                </c:pt>
                <c:pt idx="198">
                  <c:v>0.9404573953076989</c:v>
                </c:pt>
                <c:pt idx="199">
                  <c:v>0.9440162680507862</c:v>
                </c:pt>
                <c:pt idx="200">
                  <c:v>0.94756949161650861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65-4812-A7B0-598EBCE733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9594936"/>
        <c:axId val="939595264"/>
      </c:scatterChart>
      <c:valAx>
        <c:axId val="939594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39595264"/>
        <c:crosses val="autoZero"/>
        <c:crossBetween val="midCat"/>
      </c:valAx>
      <c:valAx>
        <c:axId val="939595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39594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応答係数!$B$2</c:f>
              <c:strCache>
                <c:ptCount val="1"/>
                <c:pt idx="0">
                  <c:v>貫流応答（単位）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応答係数!$A$3:$A$4003</c:f>
              <c:numCache>
                <c:formatCode>General</c:formatCode>
                <c:ptCount val="40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</c:numCache>
            </c:numRef>
          </c:xVal>
          <c:yVal>
            <c:numRef>
              <c:f>応答係数!$B$3:$B$4003</c:f>
              <c:numCache>
                <c:formatCode>0.0000</c:formatCode>
                <c:ptCount val="4001"/>
                <c:pt idx="0">
                  <c:v>-3.2470724045907673E-4</c:v>
                </c:pt>
                <c:pt idx="1">
                  <c:v>1.0683252371025394E-4</c:v>
                </c:pt>
                <c:pt idx="2">
                  <c:v>-1.1022062689452282E-4</c:v>
                </c:pt>
                <c:pt idx="3">
                  <c:v>-1.9040923037414887E-4</c:v>
                </c:pt>
                <c:pt idx="4">
                  <c:v>-1.4802160799928875E-5</c:v>
                </c:pt>
                <c:pt idx="5">
                  <c:v>4.0068614418315509E-4</c:v>
                </c:pt>
                <c:pt idx="6">
                  <c:v>1.0197606315817251E-3</c:v>
                </c:pt>
                <c:pt idx="7">
                  <c:v>1.8085161550387761E-3</c:v>
                </c:pt>
                <c:pt idx="8">
                  <c:v>2.7386552654761944E-3</c:v>
                </c:pt>
                <c:pt idx="9">
                  <c:v>3.7869343520739386E-3</c:v>
                </c:pt>
                <c:pt idx="10">
                  <c:v>4.9341561140294763E-3</c:v>
                </c:pt>
                <c:pt idx="11">
                  <c:v>6.1643175872702002E-3</c:v>
                </c:pt>
                <c:pt idx="12">
                  <c:v>7.4639647826510039E-3</c:v>
                </c:pt>
                <c:pt idx="13">
                  <c:v>8.8217101227765667E-3</c:v>
                </c:pt>
                <c:pt idx="14">
                  <c:v>1.0227866774252791E-2</c:v>
                </c:pt>
                <c:pt idx="15">
                  <c:v>1.1674165799802553E-2</c:v>
                </c:pt>
                <c:pt idx="16">
                  <c:v>1.3153532641268862E-2</c:v>
                </c:pt>
                <c:pt idx="17">
                  <c:v>1.4659906966077741E-2</c:v>
                </c:pt>
                <c:pt idx="18">
                  <c:v>1.618809495614475E-2</c:v>
                </c:pt>
                <c:pt idx="19">
                  <c:v>1.773364645912745E-2</c:v>
                </c:pt>
                <c:pt idx="20">
                  <c:v>1.9292751637749534E-2</c:v>
                </c:pt>
                <c:pt idx="21">
                  <c:v>2.086215323514954E-2</c:v>
                </c:pt>
                <c:pt idx="22">
                  <c:v>2.243907157847666E-2</c:v>
                </c:pt>
                <c:pt idx="23">
                  <c:v>2.4021140134431761E-2</c:v>
                </c:pt>
                <c:pt idx="24">
                  <c:v>2.5606349915881912E-2</c:v>
                </c:pt>
                <c:pt idx="25">
                  <c:v>2.7193001386940949E-2</c:v>
                </c:pt>
                <c:pt idx="26">
                  <c:v>2.8779662769817003E-2</c:v>
                </c:pt>
                <c:pt idx="27">
                  <c:v>3.0365133849398551E-2</c:v>
                </c:pt>
                <c:pt idx="28">
                  <c:v>3.194841452021286E-2</c:v>
                </c:pt>
                <c:pt idx="29">
                  <c:v>3.3528677437692798E-2</c:v>
                </c:pt>
                <c:pt idx="30">
                  <c:v>3.5105244230178655E-2</c:v>
                </c:pt>
                <c:pt idx="31">
                  <c:v>3.6677564805541303E-2</c:v>
                </c:pt>
                <c:pt idx="32">
                  <c:v>3.8245199350733415E-2</c:v>
                </c:pt>
                <c:pt idx="33">
                  <c:v>3.9807802676822816E-2</c:v>
                </c:pt>
                <c:pt idx="34">
                  <c:v>4.1365110608130355E-2</c:v>
                </c:pt>
                <c:pt idx="35">
                  <c:v>4.2916928153537308E-2</c:v>
                </c:pt>
                <c:pt idx="36">
                  <c:v>4.4463119231954021E-2</c:v>
                </c:pt>
                <c:pt idx="37">
                  <c:v>4.6003597753270523E-2</c:v>
                </c:pt>
                <c:pt idx="38">
                  <c:v>4.7538319881523149E-2</c:v>
                </c:pt>
                <c:pt idx="39">
                  <c:v>4.9067277329098331E-2</c:v>
                </c:pt>
                <c:pt idx="40">
                  <c:v>5.0590491550004328E-2</c:v>
                </c:pt>
                <c:pt idx="41">
                  <c:v>5.2108008716997833E-2</c:v>
                </c:pt>
                <c:pt idx="42">
                  <c:v>5.3619895381945011E-2</c:v>
                </c:pt>
                <c:pt idx="43">
                  <c:v>5.5126234731556159E-2</c:v>
                </c:pt>
                <c:pt idx="44">
                  <c:v>5.6627123361747272E-2</c:v>
                </c:pt>
                <c:pt idx="45">
                  <c:v>5.8122668503611231E-2</c:v>
                </c:pt>
                <c:pt idx="46">
                  <c:v>5.9612985642479667E-2</c:v>
                </c:pt>
                <c:pt idx="47">
                  <c:v>6.1098196478952128E-2</c:v>
                </c:pt>
                <c:pt idx="48">
                  <c:v>6.2578427187286373E-2</c:v>
                </c:pt>
                <c:pt idx="49">
                  <c:v>6.4053806932184806E-2</c:v>
                </c:pt>
                <c:pt idx="50">
                  <c:v>6.5524466609975074E-2</c:v>
                </c:pt>
                <c:pt idx="51">
                  <c:v>6.6990537784510376E-2</c:v>
                </c:pt>
                <c:pt idx="52">
                  <c:v>6.8452151791896662E-2</c:v>
                </c:pt>
                <c:pt idx="53">
                  <c:v>6.9909438991459544E-2</c:v>
                </c:pt>
                <c:pt idx="54">
                  <c:v>7.1362528143251447E-2</c:v>
                </c:pt>
                <c:pt idx="55">
                  <c:v>7.2811545894923266E-2</c:v>
                </c:pt>
                <c:pt idx="56">
                  <c:v>7.425661636299552E-2</c:v>
                </c:pt>
                <c:pt idx="57">
                  <c:v>7.5697860795484267E-2</c:v>
                </c:pt>
                <c:pt idx="58">
                  <c:v>7.7135397304517184E-2</c:v>
                </c:pt>
                <c:pt idx="59">
                  <c:v>7.8569340659060904E-2</c:v>
                </c:pt>
                <c:pt idx="60">
                  <c:v>7.9999802129146327E-2</c:v>
                </c:pt>
                <c:pt idx="61">
                  <c:v>8.1426889374112424E-2</c:v>
                </c:pt>
                <c:pt idx="62">
                  <c:v>8.2850706368359603E-2</c:v>
                </c:pt>
                <c:pt idx="63">
                  <c:v>8.4271353358968765E-2</c:v>
                </c:pt>
                <c:pt idx="64">
                  <c:v>8.568892685027546E-2</c:v>
                </c:pt>
                <c:pt idx="65">
                  <c:v>8.7103519611149399E-2</c:v>
                </c:pt>
                <c:pt idx="66">
                  <c:v>8.8515220701293432E-2</c:v>
                </c:pt>
                <c:pt idx="67">
                  <c:v>8.9924115513371067E-2</c:v>
                </c:pt>
                <c:pt idx="68">
                  <c:v>9.1330285828207042E-2</c:v>
                </c:pt>
                <c:pt idx="69">
                  <c:v>9.2733809880672813E-2</c:v>
                </c:pt>
                <c:pt idx="70">
                  <c:v>9.413476243421344E-2</c:v>
                </c:pt>
                <c:pt idx="71">
                  <c:v>9.5533214862237356E-2</c:v>
                </c:pt>
                <c:pt idx="72">
                  <c:v>9.692923523485765E-2</c:v>
                </c:pt>
                <c:pt idx="73">
                  <c:v>9.8322888409680606E-2</c:v>
                </c:pt>
                <c:pt idx="74">
                  <c:v>9.9714236125523464E-2</c:v>
                </c:pt>
                <c:pt idx="75">
                  <c:v>0.10110333709811746</c:v>
                </c:pt>
                <c:pt idx="76">
                  <c:v>0.10249024711698387</c:v>
                </c:pt>
                <c:pt idx="77">
                  <c:v>0.1038750191427984</c:v>
                </c:pt>
                <c:pt idx="78">
                  <c:v>0.10525770340466961</c:v>
                </c:pt>
                <c:pt idx="79">
                  <c:v>0.10663834749684524</c:v>
                </c:pt>
                <c:pt idx="80">
                  <c:v>0.10801699647444096</c:v>
                </c:pt>
                <c:pt idx="81">
                  <c:v>0.10939369294785875</c:v>
                </c:pt>
                <c:pt idx="82">
                  <c:v>0.11076847717562222</c:v>
                </c:pt>
                <c:pt idx="83">
                  <c:v>0.11214138715540245</c:v>
                </c:pt>
                <c:pt idx="84">
                  <c:v>0.11351245871305975</c:v>
                </c:pt>
                <c:pt idx="85">
                  <c:v>0.11488172558955971</c:v>
                </c:pt>
                <c:pt idx="86">
                  <c:v>0.11624921952565974</c:v>
                </c:pt>
                <c:pt idx="87">
                  <c:v>0.11761497034428497</c:v>
                </c:pt>
                <c:pt idx="88">
                  <c:v>0.11897900603054146</c:v>
                </c:pt>
                <c:pt idx="89">
                  <c:v>0.12034135280933045</c:v>
                </c:pt>
                <c:pt idx="90">
                  <c:v>0.12170203522055163</c:v>
                </c:pt>
                <c:pt idx="91">
                  <c:v>0.12306107619188929</c:v>
                </c:pt>
                <c:pt idx="92">
                  <c:v>0.12441849710919542</c:v>
                </c:pt>
                <c:pt idx="93">
                  <c:v>0.12577431788448759</c:v>
                </c:pt>
                <c:pt idx="94">
                  <c:v>0.12712855702159603</c:v>
                </c:pt>
                <c:pt idx="95">
                  <c:v>0.12848123167949019</c:v>
                </c:pt>
                <c:pt idx="96">
                  <c:v>0.12983235773333504</c:v>
                </c:pt>
                <c:pt idx="97">
                  <c:v>0.13118194983331519</c:v>
                </c:pt>
                <c:pt idx="98">
                  <c:v>0.1325300214612862</c:v>
                </c:pt>
                <c:pt idx="99">
                  <c:v>0.1338765849852997</c:v>
                </c:pt>
                <c:pt idx="100">
                  <c:v>0.13522165171206241</c:v>
                </c:pt>
                <c:pt idx="101">
                  <c:v>0.13656523193738399</c:v>
                </c:pt>
                <c:pt idx="102">
                  <c:v>0.13790733499467142</c:v>
                </c:pt>
                <c:pt idx="103">
                  <c:v>0.13924796930153097</c:v>
                </c:pt>
                <c:pt idx="104">
                  <c:v>0.14058714240453424</c:v>
                </c:pt>
                <c:pt idx="105">
                  <c:v>0.14192486102220561</c:v>
                </c:pt>
                <c:pt idx="106">
                  <c:v>0.14326113108629263</c:v>
                </c:pt>
                <c:pt idx="107">
                  <c:v>0.14459595778137579</c:v>
                </c:pt>
                <c:pt idx="108">
                  <c:v>0.14592934558287213</c:v>
                </c:pt>
                <c:pt idx="109">
                  <c:v>0.14726129829349</c:v>
                </c:pt>
                <c:pt idx="110">
                  <c:v>0.14859181907818991</c:v>
                </c:pt>
                <c:pt idx="111">
                  <c:v>0.14992091049770467</c:v>
                </c:pt>
                <c:pt idx="112">
                  <c:v>0.1512485745406684</c:v>
                </c:pt>
                <c:pt idx="113">
                  <c:v>0.1525748126544115</c:v>
                </c:pt>
                <c:pt idx="114">
                  <c:v>0.15389962577446084</c:v>
                </c:pt>
                <c:pt idx="115">
                  <c:v>0.15522301435280514</c:v>
                </c:pt>
                <c:pt idx="116">
                  <c:v>0.15654497838496167</c:v>
                </c:pt>
                <c:pt idx="117">
                  <c:v>0.1578655174358968</c:v>
                </c:pt>
                <c:pt idx="118">
                  <c:v>0.15918463066483898</c:v>
                </c:pt>
                <c:pt idx="119">
                  <c:v>0.16050231684903118</c:v>
                </c:pt>
                <c:pt idx="120">
                  <c:v>0.16181857440645911</c:v>
                </c:pt>
                <c:pt idx="121">
                  <c:v>0.16313340141759849</c:v>
                </c:pt>
                <c:pt idx="122">
                  <c:v>0.16444679564621956</c:v>
                </c:pt>
                <c:pt idx="123">
                  <c:v>0.16575875455928038</c:v>
                </c:pt>
                <c:pt idx="124">
                  <c:v>0.16706927534595428</c:v>
                </c:pt>
                <c:pt idx="125">
                  <c:v>0.16837835493581452</c:v>
                </c:pt>
                <c:pt idx="126">
                  <c:v>0.16968599001622103</c:v>
                </c:pt>
                <c:pt idx="127">
                  <c:v>0.17099217704892811</c:v>
                </c:pt>
                <c:pt idx="128">
                  <c:v>0.17229691228595939</c:v>
                </c:pt>
                <c:pt idx="129">
                  <c:v>0.17360019178476249</c:v>
                </c:pt>
                <c:pt idx="130">
                  <c:v>0.17490201142268846</c:v>
                </c:pt>
                <c:pt idx="131">
                  <c:v>0.17620236691080959</c:v>
                </c:pt>
                <c:pt idx="132">
                  <c:v>0.17750125380711149</c:v>
                </c:pt>
                <c:pt idx="133">
                  <c:v>0.17879866752908175</c:v>
                </c:pt>
                <c:pt idx="134">
                  <c:v>0.18009460336571628</c:v>
                </c:pt>
                <c:pt idx="135">
                  <c:v>0.18138905648897324</c:v>
                </c:pt>
                <c:pt idx="136">
                  <c:v>0.18268202196469344</c:v>
                </c:pt>
                <c:pt idx="137">
                  <c:v>0.1839734947630072</c:v>
                </c:pt>
                <c:pt idx="138">
                  <c:v>0.18526346976825286</c:v>
                </c:pt>
                <c:pt idx="139">
                  <c:v>0.1865519417884251</c:v>
                </c:pt>
                <c:pt idx="140">
                  <c:v>0.18783890556417171</c:v>
                </c:pt>
                <c:pt idx="141">
                  <c:v>0.18912435577735692</c:v>
                </c:pt>
                <c:pt idx="142">
                  <c:v>0.19040828705921395</c:v>
                </c:pt>
                <c:pt idx="143">
                  <c:v>0.19169069399809413</c:v>
                </c:pt>
                <c:pt idx="144">
                  <c:v>0.19297157114684244</c:v>
                </c:pt>
                <c:pt idx="145">
                  <c:v>0.1942509130298008</c:v>
                </c:pt>
                <c:pt idx="146">
                  <c:v>0.19552871414946754</c:v>
                </c:pt>
                <c:pt idx="147">
                  <c:v>0.19680496899281766</c:v>
                </c:pt>
                <c:pt idx="148">
                  <c:v>0.19807967203730348</c:v>
                </c:pt>
                <c:pt idx="149">
                  <c:v>0.19935281775654767</c:v>
                </c:pt>
                <c:pt idx="150">
                  <c:v>0.2006244006257403</c:v>
                </c:pt>
                <c:pt idx="151">
                  <c:v>0.20189441512675485</c:v>
                </c:pt>
                <c:pt idx="152">
                  <c:v>0.2031628557529935</c:v>
                </c:pt>
                <c:pt idx="153">
                  <c:v>0.20442971701397172</c:v>
                </c:pt>
                <c:pt idx="154">
                  <c:v>0.20569499343965761</c:v>
                </c:pt>
                <c:pt idx="155">
                  <c:v>0.20695867958457106</c:v>
                </c:pt>
                <c:pt idx="156">
                  <c:v>0.20822077003165904</c:v>
                </c:pt>
                <c:pt idx="157">
                  <c:v>0.209481259395948</c:v>
                </c:pt>
                <c:pt idx="158">
                  <c:v>0.21074014232799362</c:v>
                </c:pt>
                <c:pt idx="159">
                  <c:v>0.21199741351712692</c:v>
                </c:pt>
                <c:pt idx="160">
                  <c:v>0.21325306769451383</c:v>
                </c:pt>
                <c:pt idx="161">
                  <c:v>0.21450709963602788</c:v>
                </c:pt>
                <c:pt idx="162">
                  <c:v>0.21575950416495049</c:v>
                </c:pt>
                <c:pt idx="163">
                  <c:v>0.21701027615450613</c:v>
                </c:pt>
                <c:pt idx="164">
                  <c:v>0.21825941053023429</c:v>
                </c:pt>
                <c:pt idx="165">
                  <c:v>0.21950690227221145</c:v>
                </c:pt>
                <c:pt idx="166">
                  <c:v>0.22075274641712628</c:v>
                </c:pt>
                <c:pt idx="167">
                  <c:v>0.22199693806021492</c:v>
                </c:pt>
                <c:pt idx="168">
                  <c:v>0.22323947235706471</c:v>
                </c:pt>
                <c:pt idx="169">
                  <c:v>0.22448034452528828</c:v>
                </c:pt>
                <c:pt idx="170">
                  <c:v>0.22571954984607745</c:v>
                </c:pt>
                <c:pt idx="171">
                  <c:v>0.2269570836656411</c:v>
                </c:pt>
                <c:pt idx="172">
                  <c:v>0.22819294139653185</c:v>
                </c:pt>
                <c:pt idx="173">
                  <c:v>0.22942711851886533</c:v>
                </c:pt>
                <c:pt idx="174">
                  <c:v>0.23065961058144172</c:v>
                </c:pt>
                <c:pt idx="175">
                  <c:v>0.23189041320276788</c:v>
                </c:pt>
                <c:pt idx="176">
                  <c:v>0.23311952207198794</c:v>
                </c:pt>
                <c:pt idx="177">
                  <c:v>0.234346932949728</c:v>
                </c:pt>
                <c:pt idx="178">
                  <c:v>0.23557264166885511</c:v>
                </c:pt>
                <c:pt idx="179">
                  <c:v>0.23679664413515678</c:v>
                </c:pt>
                <c:pt idx="180">
                  <c:v>0.23801893632794613</c:v>
                </c:pt>
                <c:pt idx="181">
                  <c:v>0.23923951430059234</c:v>
                </c:pt>
                <c:pt idx="182">
                  <c:v>0.24045837418098295</c:v>
                </c:pt>
                <c:pt idx="183">
                  <c:v>0.24167551217192235</c:v>
                </c:pt>
                <c:pt idx="184">
                  <c:v>0.24289092455146444</c:v>
                </c:pt>
                <c:pt idx="185">
                  <c:v>0.24410460767318826</c:v>
                </c:pt>
                <c:pt idx="186">
                  <c:v>0.24531655796641685</c:v>
                </c:pt>
                <c:pt idx="187">
                  <c:v>0.24652677193638131</c:v>
                </c:pt>
                <c:pt idx="188">
                  <c:v>0.24773524616433304</c:v>
                </c:pt>
                <c:pt idx="189">
                  <c:v>0.24894197730761142</c:v>
                </c:pt>
                <c:pt idx="190">
                  <c:v>0.25014696209966047</c:v>
                </c:pt>
                <c:pt idx="191">
                  <c:v>0.25135019735000558</c:v>
                </c:pt>
                <c:pt idx="192">
                  <c:v>0.25255167994418587</c:v>
                </c:pt>
                <c:pt idx="193">
                  <c:v>0.25375140684364927</c:v>
                </c:pt>
                <c:pt idx="194">
                  <c:v>0.25494937508561011</c:v>
                </c:pt>
                <c:pt idx="195">
                  <c:v>0.25614558178286945</c:v>
                </c:pt>
                <c:pt idx="196">
                  <c:v>0.25734002412360601</c:v>
                </c:pt>
                <c:pt idx="197">
                  <c:v>0.2585326993711306</c:v>
                </c:pt>
                <c:pt idx="198">
                  <c:v>0.25972360486361434</c:v>
                </c:pt>
                <c:pt idx="199">
                  <c:v>0.26091273801378873</c:v>
                </c:pt>
                <c:pt idx="200">
                  <c:v>0.26210009630861614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DA0-45A9-933E-269A94FB5B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8869528"/>
        <c:axId val="908869856"/>
      </c:scatterChart>
      <c:valAx>
        <c:axId val="908869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08869856"/>
        <c:crosses val="autoZero"/>
        <c:crossBetween val="midCat"/>
      </c:valAx>
      <c:valAx>
        <c:axId val="908869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08869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応答係数!$B$2</c:f>
              <c:strCache>
                <c:ptCount val="1"/>
                <c:pt idx="0">
                  <c:v>貫流応答（単位）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応答係数!$A$3:$A$4003</c:f>
              <c:numCache>
                <c:formatCode>General</c:formatCode>
                <c:ptCount val="40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</c:numCache>
            </c:numRef>
          </c:xVal>
          <c:yVal>
            <c:numRef>
              <c:f>応答係数!$B$3:$B$4003</c:f>
              <c:numCache>
                <c:formatCode>0.0000</c:formatCode>
                <c:ptCount val="4001"/>
                <c:pt idx="0">
                  <c:v>-3.2470724045907673E-4</c:v>
                </c:pt>
                <c:pt idx="1">
                  <c:v>1.0683252371025394E-4</c:v>
                </c:pt>
                <c:pt idx="2">
                  <c:v>-1.1022062689452282E-4</c:v>
                </c:pt>
                <c:pt idx="3">
                  <c:v>-1.9040923037414887E-4</c:v>
                </c:pt>
                <c:pt idx="4">
                  <c:v>-1.4802160799928875E-5</c:v>
                </c:pt>
                <c:pt idx="5">
                  <c:v>4.0068614418315509E-4</c:v>
                </c:pt>
                <c:pt idx="6">
                  <c:v>1.0197606315817251E-3</c:v>
                </c:pt>
                <c:pt idx="7">
                  <c:v>1.8085161550387761E-3</c:v>
                </c:pt>
                <c:pt idx="8">
                  <c:v>2.7386552654761944E-3</c:v>
                </c:pt>
                <c:pt idx="9">
                  <c:v>3.7869343520739386E-3</c:v>
                </c:pt>
                <c:pt idx="10">
                  <c:v>4.9341561140294763E-3</c:v>
                </c:pt>
                <c:pt idx="11">
                  <c:v>6.1643175872702002E-3</c:v>
                </c:pt>
                <c:pt idx="12">
                  <c:v>7.4639647826510039E-3</c:v>
                </c:pt>
                <c:pt idx="13">
                  <c:v>8.8217101227765667E-3</c:v>
                </c:pt>
                <c:pt idx="14">
                  <c:v>1.0227866774252791E-2</c:v>
                </c:pt>
                <c:pt idx="15">
                  <c:v>1.1674165799802553E-2</c:v>
                </c:pt>
                <c:pt idx="16">
                  <c:v>1.3153532641268862E-2</c:v>
                </c:pt>
                <c:pt idx="17">
                  <c:v>1.4659906966077741E-2</c:v>
                </c:pt>
                <c:pt idx="18">
                  <c:v>1.618809495614475E-2</c:v>
                </c:pt>
                <c:pt idx="19">
                  <c:v>1.773364645912745E-2</c:v>
                </c:pt>
                <c:pt idx="20">
                  <c:v>1.9292751637749534E-2</c:v>
                </c:pt>
                <c:pt idx="21">
                  <c:v>2.086215323514954E-2</c:v>
                </c:pt>
                <c:pt idx="22">
                  <c:v>2.243907157847666E-2</c:v>
                </c:pt>
                <c:pt idx="23">
                  <c:v>2.4021140134431761E-2</c:v>
                </c:pt>
                <c:pt idx="24">
                  <c:v>2.5606349915881912E-2</c:v>
                </c:pt>
                <c:pt idx="25">
                  <c:v>2.7193001386940949E-2</c:v>
                </c:pt>
                <c:pt idx="26">
                  <c:v>2.8779662769817003E-2</c:v>
                </c:pt>
                <c:pt idx="27">
                  <c:v>3.0365133849398551E-2</c:v>
                </c:pt>
                <c:pt idx="28">
                  <c:v>3.194841452021286E-2</c:v>
                </c:pt>
                <c:pt idx="29">
                  <c:v>3.3528677437692798E-2</c:v>
                </c:pt>
                <c:pt idx="30">
                  <c:v>3.5105244230178655E-2</c:v>
                </c:pt>
                <c:pt idx="31">
                  <c:v>3.6677564805541303E-2</c:v>
                </c:pt>
                <c:pt idx="32">
                  <c:v>3.8245199350733415E-2</c:v>
                </c:pt>
                <c:pt idx="33">
                  <c:v>3.9807802676822816E-2</c:v>
                </c:pt>
                <c:pt idx="34">
                  <c:v>4.1365110608130355E-2</c:v>
                </c:pt>
                <c:pt idx="35">
                  <c:v>4.2916928153537308E-2</c:v>
                </c:pt>
                <c:pt idx="36">
                  <c:v>4.4463119231954021E-2</c:v>
                </c:pt>
                <c:pt idx="37">
                  <c:v>4.6003597753270523E-2</c:v>
                </c:pt>
                <c:pt idx="38">
                  <c:v>4.7538319881523149E-2</c:v>
                </c:pt>
                <c:pt idx="39">
                  <c:v>4.9067277329098331E-2</c:v>
                </c:pt>
                <c:pt idx="40">
                  <c:v>5.0590491550004328E-2</c:v>
                </c:pt>
                <c:pt idx="41">
                  <c:v>5.2108008716997833E-2</c:v>
                </c:pt>
                <c:pt idx="42">
                  <c:v>5.3619895381945011E-2</c:v>
                </c:pt>
                <c:pt idx="43">
                  <c:v>5.5126234731556159E-2</c:v>
                </c:pt>
                <c:pt idx="44">
                  <c:v>5.6627123361747272E-2</c:v>
                </c:pt>
                <c:pt idx="45">
                  <c:v>5.8122668503611231E-2</c:v>
                </c:pt>
                <c:pt idx="46">
                  <c:v>5.9612985642479667E-2</c:v>
                </c:pt>
                <c:pt idx="47">
                  <c:v>6.1098196478952128E-2</c:v>
                </c:pt>
                <c:pt idx="48">
                  <c:v>6.2578427187286373E-2</c:v>
                </c:pt>
                <c:pt idx="49">
                  <c:v>6.4053806932184806E-2</c:v>
                </c:pt>
                <c:pt idx="50">
                  <c:v>6.5524466609975074E-2</c:v>
                </c:pt>
                <c:pt idx="51">
                  <c:v>6.6990537784510376E-2</c:v>
                </c:pt>
                <c:pt idx="52">
                  <c:v>6.8452151791896662E-2</c:v>
                </c:pt>
                <c:pt idx="53">
                  <c:v>6.9909438991459544E-2</c:v>
                </c:pt>
                <c:pt idx="54">
                  <c:v>7.1362528143251447E-2</c:v>
                </c:pt>
                <c:pt idx="55">
                  <c:v>7.2811545894923266E-2</c:v>
                </c:pt>
                <c:pt idx="56">
                  <c:v>7.425661636299552E-2</c:v>
                </c:pt>
                <c:pt idx="57">
                  <c:v>7.5697860795484267E-2</c:v>
                </c:pt>
                <c:pt idx="58">
                  <c:v>7.7135397304517184E-2</c:v>
                </c:pt>
                <c:pt idx="59">
                  <c:v>7.8569340659060904E-2</c:v>
                </c:pt>
                <c:pt idx="60">
                  <c:v>7.9999802129146327E-2</c:v>
                </c:pt>
                <c:pt idx="61">
                  <c:v>8.1426889374112424E-2</c:v>
                </c:pt>
                <c:pt idx="62">
                  <c:v>8.2850706368359603E-2</c:v>
                </c:pt>
                <c:pt idx="63">
                  <c:v>8.4271353358968765E-2</c:v>
                </c:pt>
                <c:pt idx="64">
                  <c:v>8.568892685027546E-2</c:v>
                </c:pt>
                <c:pt idx="65">
                  <c:v>8.7103519611149399E-2</c:v>
                </c:pt>
                <c:pt idx="66">
                  <c:v>8.8515220701293432E-2</c:v>
                </c:pt>
                <c:pt idx="67">
                  <c:v>8.9924115513371067E-2</c:v>
                </c:pt>
                <c:pt idx="68">
                  <c:v>9.1330285828207042E-2</c:v>
                </c:pt>
                <c:pt idx="69">
                  <c:v>9.2733809880672813E-2</c:v>
                </c:pt>
                <c:pt idx="70">
                  <c:v>9.413476243421344E-2</c:v>
                </c:pt>
                <c:pt idx="71">
                  <c:v>9.5533214862237356E-2</c:v>
                </c:pt>
                <c:pt idx="72">
                  <c:v>9.692923523485765E-2</c:v>
                </c:pt>
                <c:pt idx="73">
                  <c:v>9.8322888409680606E-2</c:v>
                </c:pt>
                <c:pt idx="74">
                  <c:v>9.9714236125523464E-2</c:v>
                </c:pt>
                <c:pt idx="75">
                  <c:v>0.10110333709811746</c:v>
                </c:pt>
                <c:pt idx="76">
                  <c:v>0.10249024711698387</c:v>
                </c:pt>
                <c:pt idx="77">
                  <c:v>0.1038750191427984</c:v>
                </c:pt>
                <c:pt idx="78">
                  <c:v>0.10525770340466961</c:v>
                </c:pt>
                <c:pt idx="79">
                  <c:v>0.10663834749684524</c:v>
                </c:pt>
                <c:pt idx="80">
                  <c:v>0.10801699647444096</c:v>
                </c:pt>
                <c:pt idx="81">
                  <c:v>0.10939369294785875</c:v>
                </c:pt>
                <c:pt idx="82">
                  <c:v>0.11076847717562222</c:v>
                </c:pt>
                <c:pt idx="83">
                  <c:v>0.11214138715540245</c:v>
                </c:pt>
                <c:pt idx="84">
                  <c:v>0.11351245871305975</c:v>
                </c:pt>
                <c:pt idx="85">
                  <c:v>0.11488172558955971</c:v>
                </c:pt>
                <c:pt idx="86">
                  <c:v>0.11624921952565974</c:v>
                </c:pt>
                <c:pt idx="87">
                  <c:v>0.11761497034428497</c:v>
                </c:pt>
                <c:pt idx="88">
                  <c:v>0.11897900603054146</c:v>
                </c:pt>
                <c:pt idx="89">
                  <c:v>0.12034135280933045</c:v>
                </c:pt>
                <c:pt idx="90">
                  <c:v>0.12170203522055163</c:v>
                </c:pt>
                <c:pt idx="91">
                  <c:v>0.12306107619188929</c:v>
                </c:pt>
                <c:pt idx="92">
                  <c:v>0.12441849710919542</c:v>
                </c:pt>
                <c:pt idx="93">
                  <c:v>0.12577431788448759</c:v>
                </c:pt>
                <c:pt idx="94">
                  <c:v>0.12712855702159603</c:v>
                </c:pt>
                <c:pt idx="95">
                  <c:v>0.12848123167949019</c:v>
                </c:pt>
                <c:pt idx="96">
                  <c:v>0.12983235773333504</c:v>
                </c:pt>
                <c:pt idx="97">
                  <c:v>0.13118194983331519</c:v>
                </c:pt>
                <c:pt idx="98">
                  <c:v>0.1325300214612862</c:v>
                </c:pt>
                <c:pt idx="99">
                  <c:v>0.1338765849852997</c:v>
                </c:pt>
                <c:pt idx="100">
                  <c:v>0.13522165171206241</c:v>
                </c:pt>
                <c:pt idx="101">
                  <c:v>0.13656523193738399</c:v>
                </c:pt>
                <c:pt idx="102">
                  <c:v>0.13790733499467142</c:v>
                </c:pt>
                <c:pt idx="103">
                  <c:v>0.13924796930153097</c:v>
                </c:pt>
                <c:pt idx="104">
                  <c:v>0.14058714240453424</c:v>
                </c:pt>
                <c:pt idx="105">
                  <c:v>0.14192486102220561</c:v>
                </c:pt>
                <c:pt idx="106">
                  <c:v>0.14326113108629263</c:v>
                </c:pt>
                <c:pt idx="107">
                  <c:v>0.14459595778137579</c:v>
                </c:pt>
                <c:pt idx="108">
                  <c:v>0.14592934558287213</c:v>
                </c:pt>
                <c:pt idx="109">
                  <c:v>0.14726129829349</c:v>
                </c:pt>
                <c:pt idx="110">
                  <c:v>0.14859181907818991</c:v>
                </c:pt>
                <c:pt idx="111">
                  <c:v>0.14992091049770467</c:v>
                </c:pt>
                <c:pt idx="112">
                  <c:v>0.1512485745406684</c:v>
                </c:pt>
                <c:pt idx="113">
                  <c:v>0.1525748126544115</c:v>
                </c:pt>
                <c:pt idx="114">
                  <c:v>0.15389962577446084</c:v>
                </c:pt>
                <c:pt idx="115">
                  <c:v>0.15522301435280514</c:v>
                </c:pt>
                <c:pt idx="116">
                  <c:v>0.15654497838496167</c:v>
                </c:pt>
                <c:pt idx="117">
                  <c:v>0.1578655174358968</c:v>
                </c:pt>
                <c:pt idx="118">
                  <c:v>0.15918463066483898</c:v>
                </c:pt>
                <c:pt idx="119">
                  <c:v>0.16050231684903118</c:v>
                </c:pt>
                <c:pt idx="120">
                  <c:v>0.16181857440645911</c:v>
                </c:pt>
                <c:pt idx="121">
                  <c:v>0.16313340141759849</c:v>
                </c:pt>
                <c:pt idx="122">
                  <c:v>0.16444679564621956</c:v>
                </c:pt>
                <c:pt idx="123">
                  <c:v>0.16575875455928038</c:v>
                </c:pt>
                <c:pt idx="124">
                  <c:v>0.16706927534595428</c:v>
                </c:pt>
                <c:pt idx="125">
                  <c:v>0.16837835493581452</c:v>
                </c:pt>
                <c:pt idx="126">
                  <c:v>0.16968599001622103</c:v>
                </c:pt>
                <c:pt idx="127">
                  <c:v>0.17099217704892811</c:v>
                </c:pt>
                <c:pt idx="128">
                  <c:v>0.17229691228595939</c:v>
                </c:pt>
                <c:pt idx="129">
                  <c:v>0.17360019178476249</c:v>
                </c:pt>
                <c:pt idx="130">
                  <c:v>0.17490201142268846</c:v>
                </c:pt>
                <c:pt idx="131">
                  <c:v>0.17620236691080959</c:v>
                </c:pt>
                <c:pt idx="132">
                  <c:v>0.17750125380711149</c:v>
                </c:pt>
                <c:pt idx="133">
                  <c:v>0.17879866752908175</c:v>
                </c:pt>
                <c:pt idx="134">
                  <c:v>0.18009460336571628</c:v>
                </c:pt>
                <c:pt idx="135">
                  <c:v>0.18138905648897324</c:v>
                </c:pt>
                <c:pt idx="136">
                  <c:v>0.18268202196469344</c:v>
                </c:pt>
                <c:pt idx="137">
                  <c:v>0.1839734947630072</c:v>
                </c:pt>
                <c:pt idx="138">
                  <c:v>0.18526346976825286</c:v>
                </c:pt>
                <c:pt idx="139">
                  <c:v>0.1865519417884251</c:v>
                </c:pt>
                <c:pt idx="140">
                  <c:v>0.18783890556417171</c:v>
                </c:pt>
                <c:pt idx="141">
                  <c:v>0.18912435577735692</c:v>
                </c:pt>
                <c:pt idx="142">
                  <c:v>0.19040828705921395</c:v>
                </c:pt>
                <c:pt idx="143">
                  <c:v>0.19169069399809413</c:v>
                </c:pt>
                <c:pt idx="144">
                  <c:v>0.19297157114684244</c:v>
                </c:pt>
                <c:pt idx="145">
                  <c:v>0.1942509130298008</c:v>
                </c:pt>
                <c:pt idx="146">
                  <c:v>0.19552871414946754</c:v>
                </c:pt>
                <c:pt idx="147">
                  <c:v>0.19680496899281766</c:v>
                </c:pt>
                <c:pt idx="148">
                  <c:v>0.19807967203730348</c:v>
                </c:pt>
                <c:pt idx="149">
                  <c:v>0.19935281775654767</c:v>
                </c:pt>
                <c:pt idx="150">
                  <c:v>0.2006244006257403</c:v>
                </c:pt>
                <c:pt idx="151">
                  <c:v>0.20189441512675485</c:v>
                </c:pt>
                <c:pt idx="152">
                  <c:v>0.2031628557529935</c:v>
                </c:pt>
                <c:pt idx="153">
                  <c:v>0.20442971701397172</c:v>
                </c:pt>
                <c:pt idx="154">
                  <c:v>0.20569499343965761</c:v>
                </c:pt>
                <c:pt idx="155">
                  <c:v>0.20695867958457106</c:v>
                </c:pt>
                <c:pt idx="156">
                  <c:v>0.20822077003165904</c:v>
                </c:pt>
                <c:pt idx="157">
                  <c:v>0.209481259395948</c:v>
                </c:pt>
                <c:pt idx="158">
                  <c:v>0.21074014232799362</c:v>
                </c:pt>
                <c:pt idx="159">
                  <c:v>0.21199741351712692</c:v>
                </c:pt>
                <c:pt idx="160">
                  <c:v>0.21325306769451383</c:v>
                </c:pt>
                <c:pt idx="161">
                  <c:v>0.21450709963602788</c:v>
                </c:pt>
                <c:pt idx="162">
                  <c:v>0.21575950416495049</c:v>
                </c:pt>
                <c:pt idx="163">
                  <c:v>0.21701027615450613</c:v>
                </c:pt>
                <c:pt idx="164">
                  <c:v>0.21825941053023429</c:v>
                </c:pt>
                <c:pt idx="165">
                  <c:v>0.21950690227221145</c:v>
                </c:pt>
                <c:pt idx="166">
                  <c:v>0.22075274641712628</c:v>
                </c:pt>
                <c:pt idx="167">
                  <c:v>0.22199693806021492</c:v>
                </c:pt>
                <c:pt idx="168">
                  <c:v>0.22323947235706471</c:v>
                </c:pt>
                <c:pt idx="169">
                  <c:v>0.22448034452528828</c:v>
                </c:pt>
                <c:pt idx="170">
                  <c:v>0.22571954984607745</c:v>
                </c:pt>
                <c:pt idx="171">
                  <c:v>0.2269570836656411</c:v>
                </c:pt>
                <c:pt idx="172">
                  <c:v>0.22819294139653185</c:v>
                </c:pt>
                <c:pt idx="173">
                  <c:v>0.22942711851886533</c:v>
                </c:pt>
                <c:pt idx="174">
                  <c:v>0.23065961058144172</c:v>
                </c:pt>
                <c:pt idx="175">
                  <c:v>0.23189041320276788</c:v>
                </c:pt>
                <c:pt idx="176">
                  <c:v>0.23311952207198794</c:v>
                </c:pt>
                <c:pt idx="177">
                  <c:v>0.234346932949728</c:v>
                </c:pt>
                <c:pt idx="178">
                  <c:v>0.23557264166885511</c:v>
                </c:pt>
                <c:pt idx="179">
                  <c:v>0.23679664413515678</c:v>
                </c:pt>
                <c:pt idx="180">
                  <c:v>0.23801893632794613</c:v>
                </c:pt>
                <c:pt idx="181">
                  <c:v>0.23923951430059234</c:v>
                </c:pt>
                <c:pt idx="182">
                  <c:v>0.24045837418098295</c:v>
                </c:pt>
                <c:pt idx="183">
                  <c:v>0.24167551217192235</c:v>
                </c:pt>
                <c:pt idx="184">
                  <c:v>0.24289092455146444</c:v>
                </c:pt>
                <c:pt idx="185">
                  <c:v>0.24410460767318826</c:v>
                </c:pt>
                <c:pt idx="186">
                  <c:v>0.24531655796641685</c:v>
                </c:pt>
                <c:pt idx="187">
                  <c:v>0.24652677193638131</c:v>
                </c:pt>
                <c:pt idx="188">
                  <c:v>0.24773524616433304</c:v>
                </c:pt>
                <c:pt idx="189">
                  <c:v>0.24894197730761142</c:v>
                </c:pt>
                <c:pt idx="190">
                  <c:v>0.25014696209966047</c:v>
                </c:pt>
                <c:pt idx="191">
                  <c:v>0.25135019735000558</c:v>
                </c:pt>
                <c:pt idx="192">
                  <c:v>0.25255167994418587</c:v>
                </c:pt>
                <c:pt idx="193">
                  <c:v>0.25375140684364927</c:v>
                </c:pt>
                <c:pt idx="194">
                  <c:v>0.25494937508561011</c:v>
                </c:pt>
                <c:pt idx="195">
                  <c:v>0.25614558178286945</c:v>
                </c:pt>
                <c:pt idx="196">
                  <c:v>0.25734002412360601</c:v>
                </c:pt>
                <c:pt idx="197">
                  <c:v>0.2585326993711306</c:v>
                </c:pt>
                <c:pt idx="198">
                  <c:v>0.25972360486361434</c:v>
                </c:pt>
                <c:pt idx="199">
                  <c:v>0.26091273801378873</c:v>
                </c:pt>
                <c:pt idx="200">
                  <c:v>0.26210009630861614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8A-4654-B215-C5C30C02BF59}"/>
            </c:ext>
          </c:extLst>
        </c:ser>
        <c:ser>
          <c:idx val="1"/>
          <c:order val="1"/>
          <c:tx>
            <c:strRef>
              <c:f>応答係数!$C$2</c:f>
              <c:strCache>
                <c:ptCount val="1"/>
                <c:pt idx="0">
                  <c:v>吸熱応答（単位）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応答係数!$A$3:$A$4003</c:f>
              <c:numCache>
                <c:formatCode>General</c:formatCode>
                <c:ptCount val="40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</c:numCache>
            </c:numRef>
          </c:xVal>
          <c:yVal>
            <c:numRef>
              <c:f>応答係数!$C$3:$C$4003</c:f>
              <c:numCache>
                <c:formatCode>0.0000</c:formatCode>
                <c:ptCount val="4001"/>
                <c:pt idx="0">
                  <c:v>1.1005025148803416E-2</c:v>
                </c:pt>
                <c:pt idx="1">
                  <c:v>9.1237128362886263E-2</c:v>
                </c:pt>
                <c:pt idx="2">
                  <c:v>0.11741966830528838</c:v>
                </c:pt>
                <c:pt idx="3">
                  <c:v>0.12966439689167092</c:v>
                </c:pt>
                <c:pt idx="4">
                  <c:v>0.13763915467046353</c:v>
                </c:pt>
                <c:pt idx="5">
                  <c:v>0.14395345385042033</c:v>
                </c:pt>
                <c:pt idx="6">
                  <c:v>0.14947319025828978</c:v>
                </c:pt>
                <c:pt idx="7">
                  <c:v>0.15456816531341069</c:v>
                </c:pt>
                <c:pt idx="8">
                  <c:v>0.15942973192296528</c:v>
                </c:pt>
                <c:pt idx="9">
                  <c:v>0.16416668466228787</c:v>
                </c:pt>
                <c:pt idx="10">
                  <c:v>0.16884256362982186</c:v>
                </c:pt>
                <c:pt idx="11">
                  <c:v>0.17349407855693019</c:v>
                </c:pt>
                <c:pt idx="12">
                  <c:v>0.17814161864415745</c:v>
                </c:pt>
                <c:pt idx="13">
                  <c:v>0.18279563885089303</c:v>
                </c:pt>
                <c:pt idx="14">
                  <c:v>0.1874606260548729</c:v>
                </c:pt>
                <c:pt idx="15">
                  <c:v>0.19213757218692809</c:v>
                </c:pt>
                <c:pt idx="16">
                  <c:v>0.19682550995612141</c:v>
                </c:pt>
                <c:pt idx="17">
                  <c:v>0.20152245733170021</c:v>
                </c:pt>
                <c:pt idx="18">
                  <c:v>0.206225989450188</c:v>
                </c:pt>
                <c:pt idx="19">
                  <c:v>0.21093357664396845</c:v>
                </c:pt>
                <c:pt idx="20">
                  <c:v>0.21564277658867351</c:v>
                </c:pt>
                <c:pt idx="21">
                  <c:v>0.22035133631636758</c:v>
                </c:pt>
                <c:pt idx="22">
                  <c:v>0.22505723931327465</c:v>
                </c:pt>
                <c:pt idx="23">
                  <c:v>0.22975871986073737</c:v>
                </c:pt>
                <c:pt idx="24">
                  <c:v>0.23445425847937265</c:v>
                </c:pt>
                <c:pt idx="25">
                  <c:v>0.23914256707285958</c:v>
                </c:pt>
                <c:pt idx="26">
                  <c:v>0.24382256903818011</c:v>
                </c:pt>
                <c:pt idx="27">
                  <c:v>0.24849337751058698</c:v>
                </c:pt>
                <c:pt idx="28">
                  <c:v>0.2531542735958674</c:v>
                </c:pt>
                <c:pt idx="29">
                  <c:v>0.25780468562360015</c:v>
                </c:pt>
                <c:pt idx="30">
                  <c:v>0.26244416995093517</c:v>
                </c:pt>
                <c:pt idx="31">
                  <c:v>0.26707239354084072</c:v>
                </c:pt>
                <c:pt idx="32">
                  <c:v>0.27168911835798815</c:v>
                </c:pt>
                <c:pt idx="33">
                  <c:v>0.27629418752256962</c:v>
                </c:pt>
                <c:pt idx="34">
                  <c:v>0.28088751310761578</c:v>
                </c:pt>
                <c:pt idx="35">
                  <c:v>0.28546906544008621</c:v>
                </c:pt>
                <c:pt idx="36">
                  <c:v>0.29003886375822496</c:v>
                </c:pt>
                <c:pt idx="37">
                  <c:v>0.29459696808007391</c:v>
                </c:pt>
                <c:pt idx="38">
                  <c:v>0.29914347214602249</c:v>
                </c:pt>
                <c:pt idx="39">
                  <c:v>0.3036784973089483</c:v>
                </c:pt>
                <c:pt idx="40">
                  <c:v>0.30820218725728482</c:v>
                </c:pt>
                <c:pt idx="41">
                  <c:v>0.31271470346815511</c:v>
                </c:pt>
                <c:pt idx="42">
                  <c:v>0.31721622129899191</c:v>
                </c:pt>
                <c:pt idx="43">
                  <c:v>0.32170692663658879</c:v>
                </c:pt>
                <c:pt idx="44">
                  <c:v>0.32618701303208419</c:v>
                </c:pt>
                <c:pt idx="45">
                  <c:v>0.33065667925901959</c:v>
                </c:pt>
                <c:pt idx="46">
                  <c:v>0.335116127239314</c:v>
                </c:pt>
                <c:pt idx="47">
                  <c:v>0.33956556028881979</c:v>
                </c:pt>
                <c:pt idx="48">
                  <c:v>0.34400518164019311</c:v>
                </c:pt>
                <c:pt idx="49">
                  <c:v>0.34843519320610772</c:v>
                </c:pt>
                <c:pt idx="50">
                  <c:v>0.3528557945505395</c:v>
                </c:pt>
                <c:pt idx="51">
                  <c:v>0.35726718203993979</c:v>
                </c:pt>
                <c:pt idx="52">
                  <c:v>0.36166954814972363</c:v>
                </c:pt>
                <c:pt idx="53">
                  <c:v>0.36606308090464357</c:v>
                </c:pt>
                <c:pt idx="54">
                  <c:v>0.37044796343438918</c:v>
                </c:pt>
                <c:pt idx="55">
                  <c:v>0.3748243736281332</c:v>
                </c:pt>
                <c:pt idx="56">
                  <c:v>0.37919248387389753</c:v>
                </c:pt>
                <c:pt idx="57">
                  <c:v>0.38355246087041095</c:v>
                </c:pt>
                <c:pt idx="58">
                  <c:v>0.38790446550076946</c:v>
                </c:pt>
                <c:pt idx="59">
                  <c:v>0.39224865275859233</c:v>
                </c:pt>
                <c:pt idx="60">
                  <c:v>0.39658517171862107</c:v>
                </c:pt>
                <c:pt idx="61">
                  <c:v>0.40091416554474213</c:v>
                </c:pt>
                <c:pt idx="62">
                  <c:v>0.40523577152938295</c:v>
                </c:pt>
                <c:pt idx="63">
                  <c:v>0.4095501211590325</c:v>
                </c:pt>
                <c:pt idx="64">
                  <c:v>0.41385734020132642</c:v>
                </c:pt>
                <c:pt idx="65">
                  <c:v>0.41815754880980877</c:v>
                </c:pt>
                <c:pt idx="66">
                  <c:v>0.42245086164296225</c:v>
                </c:pt>
                <c:pt idx="67">
                  <c:v>0.42673738799460448</c:v>
                </c:pt>
                <c:pt idx="68">
                  <c:v>0.43101723193316499</c:v>
                </c:pt>
                <c:pt idx="69">
                  <c:v>0.43529049244766649</c:v>
                </c:pt>
                <c:pt idx="70">
                  <c:v>0.43955726359861091</c:v>
                </c:pt>
                <c:pt idx="71">
                  <c:v>0.44381763467218172</c:v>
                </c:pt>
                <c:pt idx="72">
                  <c:v>0.44807169033643657</c:v>
                </c:pt>
                <c:pt idx="73">
                  <c:v>0.45231951079837157</c:v>
                </c:pt>
                <c:pt idx="74">
                  <c:v>0.45656117196088908</c:v>
                </c:pt>
                <c:pt idx="75">
                  <c:v>0.46079674557889333</c:v>
                </c:pt>
                <c:pt idx="76">
                  <c:v>0.46502629941382173</c:v>
                </c:pt>
                <c:pt idx="77">
                  <c:v>0.46924989738608341</c:v>
                </c:pt>
                <c:pt idx="78">
                  <c:v>0.47346759972493641</c:v>
                </c:pt>
                <c:pt idx="79">
                  <c:v>0.47767946311544368</c:v>
                </c:pt>
                <c:pt idx="80">
                  <c:v>0.48188554084221841</c:v>
                </c:pt>
                <c:pt idx="81">
                  <c:v>0.48608588292970978</c:v>
                </c:pt>
                <c:pt idx="82">
                  <c:v>0.49028053627888074</c:v>
                </c:pt>
                <c:pt idx="83">
                  <c:v>0.49446954480011601</c:v>
                </c:pt>
                <c:pt idx="84">
                  <c:v>0.49865294954230499</c:v>
                </c:pt>
                <c:pt idx="85">
                  <c:v>0.50283078881800636</c:v>
                </c:pt>
                <c:pt idx="86">
                  <c:v>0.50700309832470103</c:v>
                </c:pt>
                <c:pt idx="87">
                  <c:v>0.51116991126209887</c:v>
                </c:pt>
                <c:pt idx="88">
                  <c:v>0.51533125844554672</c:v>
                </c:pt>
                <c:pt idx="89">
                  <c:v>0.51948716841553866</c:v>
                </c:pt>
                <c:pt idx="90">
                  <c:v>0.52363766754340857</c:v>
                </c:pt>
                <c:pt idx="91">
                  <c:v>0.52778278013323754</c:v>
                </c:pt>
                <c:pt idx="92">
                  <c:v>0.53192252852006505</c:v>
                </c:pt>
                <c:pt idx="93">
                  <c:v>0.53605693316446423</c:v>
                </c:pt>
                <c:pt idx="94">
                  <c:v>0.54018601274357947</c:v>
                </c:pt>
                <c:pt idx="95">
                  <c:v>0.54430978423870335</c:v>
                </c:pt>
                <c:pt idx="96">
                  <c:v>0.54842826301947933</c:v>
                </c:pt>
                <c:pt idx="97">
                  <c:v>0.55254146292484008</c:v>
                </c:pt>
                <c:pt idx="98">
                  <c:v>0.55664939634076149</c:v>
                </c:pt>
                <c:pt idx="99">
                  <c:v>0.56075207427493146</c:v>
                </c:pt>
                <c:pt idx="100">
                  <c:v>0.56484950642843523</c:v>
                </c:pt>
                <c:pt idx="101">
                  <c:v>0.56894170126454169</c:v>
                </c:pt>
                <c:pt idx="102">
                  <c:v>0.57302866607469916</c:v>
                </c:pt>
                <c:pt idx="103">
                  <c:v>0.57711040704182337</c:v>
                </c:pt>
                <c:pt idx="104">
                  <c:v>0.58118692930097449</c:v>
                </c:pt>
                <c:pt idx="105">
                  <c:v>0.58525823699752022</c:v>
                </c:pt>
                <c:pt idx="106">
                  <c:v>0.58932433334285494</c:v>
                </c:pt>
                <c:pt idx="107">
                  <c:v>0.59338522066779442</c:v>
                </c:pt>
                <c:pt idx="108">
                  <c:v>0.5974409004736918</c:v>
                </c:pt>
                <c:pt idx="109">
                  <c:v>0.60149137348139525</c:v>
                </c:pt>
                <c:pt idx="110">
                  <c:v>0.60553663967809945</c:v>
                </c:pt>
                <c:pt idx="111">
                  <c:v>0.60957669836218642</c:v>
                </c:pt>
                <c:pt idx="112">
                  <c:v>0.61361154818612629</c:v>
                </c:pt>
                <c:pt idx="113">
                  <c:v>0.61764118719751215</c:v>
                </c:pt>
                <c:pt idx="114">
                  <c:v>0.62166561287829447</c:v>
                </c:pt>
                <c:pt idx="115">
                  <c:v>0.62568482218230226</c:v>
                </c:pt>
                <c:pt idx="116">
                  <c:v>0.62969881157109364</c:v>
                </c:pt>
                <c:pt idx="117">
                  <c:v>0.63370757704822367</c:v>
                </c:pt>
                <c:pt idx="118">
                  <c:v>0.63771111419196891</c:v>
                </c:pt>
                <c:pt idx="119">
                  <c:v>0.64170941818659744</c:v>
                </c:pt>
                <c:pt idx="120">
                  <c:v>0.64570248385221318</c:v>
                </c:pt>
                <c:pt idx="121">
                  <c:v>0.64969030567324704</c:v>
                </c:pt>
                <c:pt idx="122">
                  <c:v>0.65367287782565386</c:v>
                </c:pt>
                <c:pt idx="123">
                  <c:v>0.65765019420285142</c:v>
                </c:pt>
                <c:pt idx="124">
                  <c:v>0.66162224844045814</c:v>
                </c:pt>
                <c:pt idx="125">
                  <c:v>0.66558903393989322</c:v>
                </c:pt>
                <c:pt idx="126">
                  <c:v>0.66955054389085567</c:v>
                </c:pt>
                <c:pt idx="127">
                  <c:v>0.67350677129275538</c:v>
                </c:pt>
                <c:pt idx="128">
                  <c:v>0.67745770897512381</c:v>
                </c:pt>
                <c:pt idx="129">
                  <c:v>0.68140334961704652</c:v>
                </c:pt>
                <c:pt idx="130">
                  <c:v>0.68534368576567273</c:v>
                </c:pt>
                <c:pt idx="131">
                  <c:v>0.68927870985380835</c:v>
                </c:pt>
                <c:pt idx="132">
                  <c:v>0.69320841421667279</c:v>
                </c:pt>
                <c:pt idx="133">
                  <c:v>0.69713279110781379</c:v>
                </c:pt>
                <c:pt idx="134">
                  <c:v>0.70105183271423832</c:v>
                </c:pt>
                <c:pt idx="135">
                  <c:v>0.70496553117078986</c:v>
                </c:pt>
                <c:pt idx="136">
                  <c:v>0.7088738785737988</c:v>
                </c:pt>
                <c:pt idx="137">
                  <c:v>0.71277686699403131</c:v>
                </c:pt>
                <c:pt idx="138">
                  <c:v>0.71667448848898008</c:v>
                </c:pt>
                <c:pt idx="139">
                  <c:v>0.72056673511451197</c:v>
                </c:pt>
                <c:pt idx="140">
                  <c:v>0.72445359893590777</c:v>
                </c:pt>
                <c:pt idx="141">
                  <c:v>0.7283350720383156</c:v>
                </c:pt>
                <c:pt idx="142">
                  <c:v>0.73221114653664043</c:v>
                </c:pt>
                <c:pt idx="143">
                  <c:v>0.73608181458489841</c:v>
                </c:pt>
                <c:pt idx="144">
                  <c:v>0.73994706838506175</c:v>
                </c:pt>
                <c:pt idx="145">
                  <c:v>0.74380690019540474</c:v>
                </c:pt>
                <c:pt idx="146">
                  <c:v>0.74766130233837924</c:v>
                </c:pt>
                <c:pt idx="147">
                  <c:v>0.75151026720804848</c:v>
                </c:pt>
                <c:pt idx="148">
                  <c:v>0.75535378727707514</c:v>
                </c:pt>
                <c:pt idx="149">
                  <c:v>0.75919185510330811</c:v>
                </c:pt>
                <c:pt idx="150">
                  <c:v>0.76302446333596774</c:v>
                </c:pt>
                <c:pt idx="151">
                  <c:v>0.76685160472146041</c:v>
                </c:pt>
                <c:pt idx="152">
                  <c:v>0.77067327210881986</c:v>
                </c:pt>
                <c:pt idx="153">
                  <c:v>0.77448945845481898</c:v>
                </c:pt>
                <c:pt idx="154">
                  <c:v>0.77830015682873555</c:v>
                </c:pt>
                <c:pt idx="155">
                  <c:v>0.78210536041681333</c:v>
                </c:pt>
                <c:pt idx="156">
                  <c:v>0.78590506252641867</c:v>
                </c:pt>
                <c:pt idx="157">
                  <c:v>0.78969925658990447</c:v>
                </c:pt>
                <c:pt idx="158">
                  <c:v>0.79348793616820523</c:v>
                </c:pt>
                <c:pt idx="159">
                  <c:v>0.79727109495416437</c:v>
                </c:pt>
                <c:pt idx="160">
                  <c:v>0.80104872677561001</c:v>
                </c:pt>
                <c:pt idx="161">
                  <c:v>0.80482082559819901</c:v>
                </c:pt>
                <c:pt idx="162">
                  <c:v>0.80858738552801701</c:v>
                </c:pt>
                <c:pt idx="163">
                  <c:v>0.81234840081397497</c:v>
                </c:pt>
                <c:pt idx="164">
                  <c:v>0.81610386584999062</c:v>
                </c:pt>
                <c:pt idx="165">
                  <c:v>0.819853775176966</c:v>
                </c:pt>
                <c:pt idx="166">
                  <c:v>0.82359812348458605</c:v>
                </c:pt>
                <c:pt idx="167">
                  <c:v>0.82733690561292861</c:v>
                </c:pt>
                <c:pt idx="168">
                  <c:v>0.83107011655390539</c:v>
                </c:pt>
                <c:pt idx="169">
                  <c:v>0.83479775145253554</c:v>
                </c:pt>
                <c:pt idx="170">
                  <c:v>0.83851980560806638</c:v>
                </c:pt>
                <c:pt idx="171">
                  <c:v>0.8422362744749452</c:v>
                </c:pt>
                <c:pt idx="172">
                  <c:v>0.84594715366364437</c:v>
                </c:pt>
                <c:pt idx="173">
                  <c:v>0.849652438941358</c:v>
                </c:pt>
                <c:pt idx="174">
                  <c:v>0.85335212623256496</c:v>
                </c:pt>
                <c:pt idx="175">
                  <c:v>0.85704621161947381</c:v>
                </c:pt>
                <c:pt idx="176">
                  <c:v>0.86073469134234859</c:v>
                </c:pt>
                <c:pt idx="177">
                  <c:v>0.86441756179972784</c:v>
                </c:pt>
                <c:pt idx="178">
                  <c:v>0.86809481954853396</c:v>
                </c:pt>
                <c:pt idx="179">
                  <c:v>0.87176646130408886</c:v>
                </c:pt>
                <c:pt idx="180">
                  <c:v>0.87543248394003181</c:v>
                </c:pt>
                <c:pt idx="181">
                  <c:v>0.87909288448814826</c:v>
                </c:pt>
                <c:pt idx="182">
                  <c:v>0.88274766013811712</c:v>
                </c:pt>
                <c:pt idx="183">
                  <c:v>0.88639680823716971</c:v>
                </c:pt>
                <c:pt idx="184">
                  <c:v>0.89004032628968621</c:v>
                </c:pt>
                <c:pt idx="185">
                  <c:v>0.8936782119567056</c:v>
                </c:pt>
                <c:pt idx="186">
                  <c:v>0.89731046305537809</c:v>
                </c:pt>
                <c:pt idx="187">
                  <c:v>0.9009370775583504</c:v>
                </c:pt>
                <c:pt idx="188">
                  <c:v>0.90455805359308561</c:v>
                </c:pt>
                <c:pt idx="189">
                  <c:v>0.9081733894411379</c:v>
                </c:pt>
                <c:pt idx="190">
                  <c:v>0.91178308353735826</c:v>
                </c:pt>
                <c:pt idx="191">
                  <c:v>0.91538713446906161</c:v>
                </c:pt>
                <c:pt idx="192">
                  <c:v>0.91898554097514107</c:v>
                </c:pt>
                <c:pt idx="193">
                  <c:v>0.92257830194514057</c:v>
                </c:pt>
                <c:pt idx="194">
                  <c:v>0.92616541641827799</c:v>
                </c:pt>
                <c:pt idx="195">
                  <c:v>0.92974688358244006</c:v>
                </c:pt>
                <c:pt idx="196">
                  <c:v>0.93332270277313201</c:v>
                </c:pt>
                <c:pt idx="197">
                  <c:v>0.9368928734723968</c:v>
                </c:pt>
                <c:pt idx="198">
                  <c:v>0.9404573953076989</c:v>
                </c:pt>
                <c:pt idx="199">
                  <c:v>0.9440162680507862</c:v>
                </c:pt>
                <c:pt idx="200">
                  <c:v>0.94756949161650861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8A-4654-B215-C5C30C02B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5257640"/>
        <c:axId val="1075258296"/>
      </c:scatterChart>
      <c:valAx>
        <c:axId val="1075257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75258296"/>
        <c:crosses val="autoZero"/>
        <c:crossBetween val="midCat"/>
      </c:valAx>
      <c:valAx>
        <c:axId val="1075258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75257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応答係数!$E$2</c:f>
              <c:strCache>
                <c:ptCount val="1"/>
                <c:pt idx="0">
                  <c:v>吸熱応答（二等辺三角）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応答係数!$A$3:$A$4003</c:f>
              <c:numCache>
                <c:formatCode>General</c:formatCode>
                <c:ptCount val="40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</c:numCache>
            </c:numRef>
          </c:xVal>
          <c:yVal>
            <c:numRef>
              <c:f>応答係数!$E$3:$E$4003</c:f>
              <c:numCache>
                <c:formatCode>0.0000</c:formatCode>
                <c:ptCount val="4001"/>
                <c:pt idx="0">
                  <c:v>5.926864020036994E-2</c:v>
                </c:pt>
                <c:pt idx="1">
                  <c:v>4.7073627858119839E-2</c:v>
                </c:pt>
                <c:pt idx="2">
                  <c:v>1.7770693293492394E-2</c:v>
                </c:pt>
                <c:pt idx="3">
                  <c:v>9.7408478376410351E-3</c:v>
                </c:pt>
                <c:pt idx="4">
                  <c:v>7.0327121232907058E-3</c:v>
                </c:pt>
                <c:pt idx="5">
                  <c:v>5.8736316378536794E-3</c:v>
                </c:pt>
                <c:pt idx="6">
                  <c:v>5.2862530678524601E-3</c:v>
                </c:pt>
                <c:pt idx="7">
                  <c:v>4.9665729481172486E-3</c:v>
                </c:pt>
                <c:pt idx="8">
                  <c:v>4.7924499156581386E-3</c:v>
                </c:pt>
                <c:pt idx="9">
                  <c:v>4.7024423474856213E-3</c:v>
                </c:pt>
                <c:pt idx="10">
                  <c:v>4.6614396705524771E-3</c:v>
                </c:pt>
                <c:pt idx="11">
                  <c:v>4.6483176804046232E-3</c:v>
                </c:pt>
                <c:pt idx="12">
                  <c:v>4.6502045722567669E-3</c:v>
                </c:pt>
                <c:pt idx="13">
                  <c:v>4.6593046939851033E-3</c:v>
                </c:pt>
                <c:pt idx="14">
                  <c:v>4.6709837364660297E-3</c:v>
                </c:pt>
                <c:pt idx="15">
                  <c:v>4.6825758831680209E-3</c:v>
                </c:pt>
                <c:pt idx="16">
                  <c:v>4.6926328015377897E-3</c:v>
                </c:pt>
                <c:pt idx="17">
                  <c:v>4.7004500187140148E-3</c:v>
                </c:pt>
                <c:pt idx="18">
                  <c:v>4.7057689321976116E-3</c:v>
                </c:pt>
                <c:pt idx="19">
                  <c:v>4.7085902588848141E-3</c:v>
                </c:pt>
                <c:pt idx="20">
                  <c:v>4.7090581462839211E-3</c:v>
                </c:pt>
                <c:pt idx="21">
                  <c:v>4.7073889962411693E-3</c:v>
                </c:pt>
                <c:pt idx="22">
                  <c:v>4.7038284863008149E-3</c:v>
                </c:pt>
                <c:pt idx="23">
                  <c:v>4.6986262872926211E-3</c:v>
                </c:pt>
                <c:pt idx="24">
                  <c:v>4.6920218095731353E-3</c:v>
                </c:pt>
                <c:pt idx="25">
                  <c:v>4.6842367538045271E-3</c:v>
                </c:pt>
                <c:pt idx="26">
                  <c:v>4.6754717984241329E-3</c:v>
                </c:pt>
                <c:pt idx="27">
                  <c:v>4.6659057461669751E-3</c:v>
                </c:pt>
                <c:pt idx="28">
                  <c:v>4.655696081150699E-3</c:v>
                </c:pt>
                <c:pt idx="29">
                  <c:v>4.6449802869827994E-3</c:v>
                </c:pt>
                <c:pt idx="30">
                  <c:v>4.6338775286351806E-3</c:v>
                </c:pt>
                <c:pt idx="31">
                  <c:v>4.6224904597565869E-3</c:v>
                </c:pt>
                <c:pt idx="32">
                  <c:v>4.6109070166670957E-3</c:v>
                </c:pt>
                <c:pt idx="33">
                  <c:v>4.5992021221861459E-3</c:v>
                </c:pt>
                <c:pt idx="34">
                  <c:v>4.5874392605073687E-3</c:v>
                </c:pt>
                <c:pt idx="35">
                  <c:v>4.575671907350456E-3</c:v>
                </c:pt>
                <c:pt idx="36">
                  <c:v>4.5639448131902134E-3</c:v>
                </c:pt>
                <c:pt idx="37">
                  <c:v>4.5522951450409459E-3</c:v>
                </c:pt>
                <c:pt idx="38">
                  <c:v>4.5407534963132585E-3</c:v>
                </c:pt>
                <c:pt idx="39">
                  <c:v>4.529344776083361E-3</c:v>
                </c:pt>
                <c:pt idx="40">
                  <c:v>4.5180889896178763E-3</c:v>
                </c:pt>
                <c:pt idx="41">
                  <c:v>4.5070019217396664E-3</c:v>
                </c:pt>
                <c:pt idx="42">
                  <c:v>4.496095733949817E-3</c:v>
                </c:pt>
                <c:pt idx="43">
                  <c:v>4.4853794853503201E-3</c:v>
                </c:pt>
                <c:pt idx="44">
                  <c:v>4.4748595864689848E-3</c:v>
                </c:pt>
                <c:pt idx="45">
                  <c:v>4.4645401941474823E-3</c:v>
                </c:pt>
                <c:pt idx="46">
                  <c:v>4.4544235547568688E-3</c:v>
                </c:pt>
                <c:pt idx="47">
                  <c:v>4.444510302173502E-3</c:v>
                </c:pt>
                <c:pt idx="48">
                  <c:v>4.434799716191087E-3</c:v>
                </c:pt>
                <c:pt idx="49">
                  <c:v>4.4252899463632393E-3</c:v>
                </c:pt>
                <c:pt idx="50">
                  <c:v>4.4159782056627022E-3</c:v>
                </c:pt>
                <c:pt idx="51">
                  <c:v>4.4068609378038696E-3</c:v>
                </c:pt>
                <c:pt idx="52">
                  <c:v>4.3979339615982643E-3</c:v>
                </c:pt>
                <c:pt idx="53">
                  <c:v>4.389192595292659E-3</c:v>
                </c:pt>
                <c:pt idx="54">
                  <c:v>4.3806317634699846E-3</c:v>
                </c:pt>
                <c:pt idx="55">
                  <c:v>4.3722460887690561E-3</c:v>
                </c:pt>
                <c:pt idx="56">
                  <c:v>4.3640299703947595E-3</c:v>
                </c:pt>
                <c:pt idx="57">
                  <c:v>4.3559776511413219E-3</c:v>
                </c:pt>
                <c:pt idx="58">
                  <c:v>4.3480832744331619E-3</c:v>
                </c:pt>
                <c:pt idx="59">
                  <c:v>4.3403409326970375E-3</c:v>
                </c:pt>
                <c:pt idx="60">
                  <c:v>4.3327447082121759E-3</c:v>
                </c:pt>
                <c:pt idx="61">
                  <c:v>4.3252887074391577E-3</c:v>
                </c:pt>
                <c:pt idx="62">
                  <c:v>4.3179670897005888E-3</c:v>
                </c:pt>
                <c:pt idx="63">
                  <c:v>4.3107740909750442E-3</c:v>
                </c:pt>
                <c:pt idx="64">
                  <c:v>4.3037040434681728E-3</c:v>
                </c:pt>
                <c:pt idx="65">
                  <c:v>4.2967513915396745E-3</c:v>
                </c:pt>
                <c:pt idx="66">
                  <c:v>4.2899107044903169E-3</c:v>
                </c:pt>
                <c:pt idx="67">
                  <c:v>4.2831766866481174E-3</c:v>
                </c:pt>
                <c:pt idx="68">
                  <c:v>4.2765441851359493E-3</c:v>
                </c:pt>
                <c:pt idx="69">
                  <c:v>4.2700081956532172E-3</c:v>
                </c:pt>
                <c:pt idx="70">
                  <c:v>4.2635638665608324E-3</c:v>
                </c:pt>
                <c:pt idx="71">
                  <c:v>4.2572065015209319E-3</c:v>
                </c:pt>
                <c:pt idx="72">
                  <c:v>4.250931560909668E-3</c:v>
                </c:pt>
                <c:pt idx="73">
                  <c:v>4.2447346621926089E-3</c:v>
                </c:pt>
                <c:pt idx="74">
                  <c:v>4.2386115794270729E-3</c:v>
                </c:pt>
                <c:pt idx="75">
                  <c:v>4.2325582420338053E-3</c:v>
                </c:pt>
                <c:pt idx="76">
                  <c:v>4.2265707329612132E-3</c:v>
                </c:pt>
                <c:pt idx="77">
                  <c:v>4.2206452863487081E-3</c:v>
                </c:pt>
                <c:pt idx="78">
                  <c:v>4.2147782847811151E-3</c:v>
                </c:pt>
                <c:pt idx="79">
                  <c:v>4.2089662562134625E-3</c:v>
                </c:pt>
                <c:pt idx="80">
                  <c:v>4.2032058706343864E-3</c:v>
                </c:pt>
                <c:pt idx="81">
                  <c:v>4.1974939365267763E-3</c:v>
                </c:pt>
                <c:pt idx="82">
                  <c:v>4.191827397175921E-3</c:v>
                </c:pt>
                <c:pt idx="83">
                  <c:v>4.1862033268681128E-3</c:v>
                </c:pt>
                <c:pt idx="84">
                  <c:v>4.1806189270163817E-3</c:v>
                </c:pt>
                <c:pt idx="85">
                  <c:v>4.1750715222444654E-3</c:v>
                </c:pt>
                <c:pt idx="86">
                  <c:v>4.1695585564554133E-3</c:v>
                </c:pt>
                <c:pt idx="87">
                  <c:v>4.1640775889070477E-3</c:v>
                </c:pt>
                <c:pt idx="88">
                  <c:v>4.1586262903128999E-3</c:v>
                </c:pt>
                <c:pt idx="89">
                  <c:v>4.153202438984171E-3</c:v>
                </c:pt>
                <c:pt idx="90">
                  <c:v>4.1478039170255773E-3</c:v>
                </c:pt>
                <c:pt idx="91">
                  <c:v>4.1424287065955478E-3</c:v>
                </c:pt>
                <c:pt idx="92">
                  <c:v>4.1370748862393659E-3</c:v>
                </c:pt>
                <c:pt idx="93">
                  <c:v>4.1317406273019752E-3</c:v>
                </c:pt>
                <c:pt idx="94">
                  <c:v>4.1264241904258349E-3</c:v>
                </c:pt>
                <c:pt idx="95">
                  <c:v>4.1211239221377993E-3</c:v>
                </c:pt>
                <c:pt idx="96">
                  <c:v>4.115838251528032E-3</c:v>
                </c:pt>
                <c:pt idx="97">
                  <c:v>4.1105656870229291E-3</c:v>
                </c:pt>
                <c:pt idx="98">
                  <c:v>4.1053048132533264E-3</c:v>
                </c:pt>
                <c:pt idx="99">
                  <c:v>4.1000542880185228E-3</c:v>
                </c:pt>
                <c:pt idx="100">
                  <c:v>4.0948128393461279E-3</c:v>
                </c:pt>
                <c:pt idx="101">
                  <c:v>4.0895792626472662E-3</c:v>
                </c:pt>
                <c:pt idx="102">
                  <c:v>4.0843524179662357E-3</c:v>
                </c:pt>
                <c:pt idx="103">
                  <c:v>4.0791312273234497E-3</c:v>
                </c:pt>
                <c:pt idx="104">
                  <c:v>4.0739146721501546E-3</c:v>
                </c:pt>
                <c:pt idx="105">
                  <c:v>4.0687017908132353E-3</c:v>
                </c:pt>
                <c:pt idx="106">
                  <c:v>4.0634916762282694E-3</c:v>
                </c:pt>
                <c:pt idx="107">
                  <c:v>4.0582834735587601E-3</c:v>
                </c:pt>
                <c:pt idx="108">
                  <c:v>4.0530763779994686E-3</c:v>
                </c:pt>
                <c:pt idx="109">
                  <c:v>4.0478696326416508E-3</c:v>
                </c:pt>
                <c:pt idx="110">
                  <c:v>4.0426625264179126E-3</c:v>
                </c:pt>
                <c:pt idx="111">
                  <c:v>4.0374543921244278E-3</c:v>
                </c:pt>
                <c:pt idx="112">
                  <c:v>4.0322446045181924E-3</c:v>
                </c:pt>
                <c:pt idx="113">
                  <c:v>4.0270325784869916E-3</c:v>
                </c:pt>
                <c:pt idx="114">
                  <c:v>4.0218177672898207E-3</c:v>
                </c:pt>
                <c:pt idx="115">
                  <c:v>4.0165996608654032E-3</c:v>
                </c:pt>
                <c:pt idx="116">
                  <c:v>4.0113777842066042E-3</c:v>
                </c:pt>
                <c:pt idx="117">
                  <c:v>4.0061516957984895E-3</c:v>
                </c:pt>
                <c:pt idx="118">
                  <c:v>4.0009209861178287E-3</c:v>
                </c:pt>
                <c:pt idx="119">
                  <c:v>3.9956852761919275E-3</c:v>
                </c:pt>
                <c:pt idx="120">
                  <c:v>3.9904442162146617E-3</c:v>
                </c:pt>
                <c:pt idx="121">
                  <c:v>3.9851974842176809E-3</c:v>
                </c:pt>
                <c:pt idx="122">
                  <c:v>3.9799447847947925E-3</c:v>
                </c:pt>
                <c:pt idx="123">
                  <c:v>3.9746858478775619E-3</c:v>
                </c:pt>
                <c:pt idx="124">
                  <c:v>3.9694204275602671E-3</c:v>
                </c:pt>
                <c:pt idx="125">
                  <c:v>3.964148300972351E-3</c:v>
                </c:pt>
                <c:pt idx="126">
                  <c:v>3.9588692671966245E-3</c:v>
                </c:pt>
                <c:pt idx="127">
                  <c:v>3.9535831462314732E-3</c:v>
                </c:pt>
                <c:pt idx="128">
                  <c:v>3.9482897779954092E-3</c:v>
                </c:pt>
                <c:pt idx="129">
                  <c:v>3.9429890213723649E-3</c:v>
                </c:pt>
                <c:pt idx="130">
                  <c:v>3.9376807532961753E-3</c:v>
                </c:pt>
                <c:pt idx="131">
                  <c:v>3.9323648678727145E-3</c:v>
                </c:pt>
                <c:pt idx="132">
                  <c:v>3.9270412755382693E-3</c:v>
                </c:pt>
                <c:pt idx="133">
                  <c:v>3.9217099022527341E-3</c:v>
                </c:pt>
                <c:pt idx="134">
                  <c:v>3.916370688726265E-3</c:v>
                </c:pt>
                <c:pt idx="135">
                  <c:v>3.9110235896781054E-3</c:v>
                </c:pt>
                <c:pt idx="136">
                  <c:v>3.9056685731263204E-3</c:v>
                </c:pt>
                <c:pt idx="137">
                  <c:v>3.9003056197072206E-3</c:v>
                </c:pt>
                <c:pt idx="138">
                  <c:v>3.8949347220233236E-3</c:v>
                </c:pt>
                <c:pt idx="139">
                  <c:v>3.8895558840187196E-3</c:v>
                </c:pt>
                <c:pt idx="140">
                  <c:v>3.8841691203807642E-3</c:v>
                </c:pt>
                <c:pt idx="141">
                  <c:v>3.8787744559670542E-3</c:v>
                </c:pt>
                <c:pt idx="142">
                  <c:v>3.8733719252566881E-3</c:v>
                </c:pt>
                <c:pt idx="143">
                  <c:v>3.8679615718248388E-3</c:v>
                </c:pt>
                <c:pt idx="144">
                  <c:v>3.8625434478397357E-3</c:v>
                </c:pt>
                <c:pt idx="145">
                  <c:v>3.857117613581121E-3</c:v>
                </c:pt>
                <c:pt idx="146">
                  <c:v>3.8516841369793677E-3</c:v>
                </c:pt>
                <c:pt idx="147">
                  <c:v>3.8462430931744114E-3</c:v>
                </c:pt>
                <c:pt idx="148">
                  <c:v>3.8407945640936934E-3</c:v>
                </c:pt>
                <c:pt idx="149">
                  <c:v>3.8353386380483839E-3</c:v>
                </c:pt>
                <c:pt idx="150">
                  <c:v>3.8298754093471182E-3</c:v>
                </c:pt>
                <c:pt idx="151">
                  <c:v>3.8244049779265635E-3</c:v>
                </c:pt>
                <c:pt idx="152">
                  <c:v>3.8189274489981327E-3</c:v>
                </c:pt>
                <c:pt idx="153">
                  <c:v>3.813442932710188E-3</c:v>
                </c:pt>
                <c:pt idx="154">
                  <c:v>3.8079515438251268E-3</c:v>
                </c:pt>
                <c:pt idx="155">
                  <c:v>3.8024534014107223E-3</c:v>
                </c:pt>
                <c:pt idx="156">
                  <c:v>3.7969486285451682E-3</c:v>
                </c:pt>
                <c:pt idx="157">
                  <c:v>3.7914373520352511E-3</c:v>
                </c:pt>
                <c:pt idx="158">
                  <c:v>3.7859197021471347E-3</c:v>
                </c:pt>
                <c:pt idx="159">
                  <c:v>3.7803958123492337E-3</c:v>
                </c:pt>
                <c:pt idx="160">
                  <c:v>3.7748658190666817E-3</c:v>
                </c:pt>
                <c:pt idx="161">
                  <c:v>3.7693298614469416E-3</c:v>
                </c:pt>
                <c:pt idx="162">
                  <c:v>3.7637880811360689E-3</c:v>
                </c:pt>
                <c:pt idx="163">
                  <c:v>3.7582406220652304E-3</c:v>
                </c:pt>
                <c:pt idx="164">
                  <c:v>3.7526876302470362E-3</c:v>
                </c:pt>
                <c:pt idx="165">
                  <c:v>3.7471292535812806E-3</c:v>
                </c:pt>
                <c:pt idx="166">
                  <c:v>3.7415656416697309E-3</c:v>
                </c:pt>
                <c:pt idx="167">
                  <c:v>3.7359969456395524E-3</c:v>
                </c:pt>
                <c:pt idx="168">
                  <c:v>3.7304233179750569E-3</c:v>
                </c:pt>
                <c:pt idx="169">
                  <c:v>3.7248449123574046E-3</c:v>
                </c:pt>
                <c:pt idx="170">
                  <c:v>3.7192618835119313E-3</c:v>
                </c:pt>
                <c:pt idx="171">
                  <c:v>3.713674387062806E-3</c:v>
                </c:pt>
                <c:pt idx="172">
                  <c:v>3.7080825793946903E-3</c:v>
                </c:pt>
                <c:pt idx="173">
                  <c:v>3.7024866175211285E-3</c:v>
                </c:pt>
                <c:pt idx="174">
                  <c:v>3.696886658959377E-3</c:v>
                </c:pt>
                <c:pt idx="175">
                  <c:v>3.6912828616114091E-3</c:v>
                </c:pt>
                <c:pt idx="176">
                  <c:v>3.6856753836508448E-3</c:v>
                </c:pt>
                <c:pt idx="177">
                  <c:v>3.6800643834155374E-3</c:v>
                </c:pt>
                <c:pt idx="178">
                  <c:v>3.6744500193056063E-3</c:v>
                </c:pt>
                <c:pt idx="179">
                  <c:v>3.6688324496866693E-3</c:v>
                </c:pt>
                <c:pt idx="180">
                  <c:v>3.6632118327980601E-3</c:v>
                </c:pt>
                <c:pt idx="181">
                  <c:v>3.6575883266658283E-3</c:v>
                </c:pt>
                <c:pt idx="182">
                  <c:v>3.6519620890203049E-3</c:v>
                </c:pt>
                <c:pt idx="183">
                  <c:v>3.6463332772180596E-3</c:v>
                </c:pt>
                <c:pt idx="184">
                  <c:v>3.6407020481680446E-3</c:v>
                </c:pt>
                <c:pt idx="185">
                  <c:v>3.6350685582617606E-3</c:v>
                </c:pt>
                <c:pt idx="186">
                  <c:v>3.6294329633072674E-3</c:v>
                </c:pt>
                <c:pt idx="187">
                  <c:v>3.6237954184668796E-3</c:v>
                </c:pt>
                <c:pt idx="188">
                  <c:v>3.6181560781983753E-3</c:v>
                </c:pt>
                <c:pt idx="189">
                  <c:v>3.6125150961995936E-3</c:v>
                </c:pt>
                <c:pt idx="190">
                  <c:v>3.6068726253562435E-3</c:v>
                </c:pt>
                <c:pt idx="191">
                  <c:v>3.6012288176928147E-3</c:v>
                </c:pt>
                <c:pt idx="192">
                  <c:v>3.595583824326429E-3</c:v>
                </c:pt>
                <c:pt idx="193">
                  <c:v>3.5899377954235314E-3</c:v>
                </c:pt>
                <c:pt idx="194">
                  <c:v>3.5842908801592709E-3</c:v>
                </c:pt>
                <c:pt idx="195">
                  <c:v>3.5786432266794754E-3</c:v>
                </c:pt>
                <c:pt idx="196">
                  <c:v>3.5729949820650906E-3</c:v>
                </c:pt>
                <c:pt idx="197">
                  <c:v>3.5673462922989865E-3</c:v>
                </c:pt>
                <c:pt idx="198">
                  <c:v>3.5616973022350169E-3</c:v>
                </c:pt>
                <c:pt idx="199">
                  <c:v>3.5560481555692407E-3</c:v>
                </c:pt>
                <c:pt idx="200">
                  <c:v>3.5503989948131977E-3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8A-4654-B215-C5C30C02B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5257640"/>
        <c:axId val="1075258296"/>
      </c:scatterChart>
      <c:valAx>
        <c:axId val="1075257640"/>
        <c:scaling>
          <c:orientation val="minMax"/>
          <c:max val="5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75258296"/>
        <c:crosses val="autoZero"/>
        <c:crossBetween val="midCat"/>
      </c:valAx>
      <c:valAx>
        <c:axId val="1075258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75257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応答係数!$D$2</c:f>
              <c:strCache>
                <c:ptCount val="1"/>
                <c:pt idx="0">
                  <c:v>貫流応答（二等辺三角）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応答係数!$A$3:$A$4003</c:f>
              <c:numCache>
                <c:formatCode>General</c:formatCode>
                <c:ptCount val="40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</c:numCache>
            </c:numRef>
          </c:xVal>
          <c:yVal>
            <c:numRef>
              <c:f>応答係数!$D$3:$D$4003</c:f>
              <c:numCache>
                <c:formatCode>0.0000</c:formatCode>
                <c:ptCount val="4001"/>
                <c:pt idx="0">
                  <c:v>2.2364745391584622E-5</c:v>
                </c:pt>
                <c:pt idx="1">
                  <c:v>-2.1046061762996642E-5</c:v>
                </c:pt>
                <c:pt idx="2">
                  <c:v>-1.7182777893714075E-4</c:v>
                </c:pt>
                <c:pt idx="3">
                  <c:v>4.6569623570030946E-5</c:v>
                </c:pt>
                <c:pt idx="4">
                  <c:v>2.9837545417303119E-4</c:v>
                </c:pt>
                <c:pt idx="5">
                  <c:v>5.2031779895158714E-4</c:v>
                </c:pt>
                <c:pt idx="6">
                  <c:v>7.0650847455831463E-4</c:v>
                </c:pt>
                <c:pt idx="7">
                  <c:v>8.6157927745199303E-4</c:v>
                </c:pt>
                <c:pt idx="8">
                  <c:v>9.909627765533305E-4</c:v>
                </c:pt>
                <c:pt idx="9">
                  <c:v>1.0992057672092985E-3</c:v>
                </c:pt>
                <c:pt idx="10">
                  <c:v>1.1899105360811601E-3</c:v>
                </c:pt>
                <c:pt idx="11">
                  <c:v>1.2659330470992773E-3</c:v>
                </c:pt>
                <c:pt idx="12">
                  <c:v>1.3295695029834132E-3</c:v>
                </c:pt>
                <c:pt idx="13">
                  <c:v>1.3826953451567718E-3</c:v>
                </c:pt>
                <c:pt idx="14">
                  <c:v>1.4268641082717868E-3</c:v>
                </c:pt>
                <c:pt idx="15">
                  <c:v>1.4633777443736941E-3</c:v>
                </c:pt>
                <c:pt idx="16">
                  <c:v>1.493337459130651E-3</c:v>
                </c:pt>
                <c:pt idx="17">
                  <c:v>1.5176812758271813E-3</c:v>
                </c:pt>
                <c:pt idx="18">
                  <c:v>1.5372124634925603E-3</c:v>
                </c:pt>
                <c:pt idx="19">
                  <c:v>1.5526215677987879E-3</c:v>
                </c:pt>
                <c:pt idx="20">
                  <c:v>1.5645038676002591E-3</c:v>
                </c:pt>
                <c:pt idx="21">
                  <c:v>1.5733734834097422E-3</c:v>
                </c:pt>
                <c:pt idx="22">
                  <c:v>1.5796749747451564E-3</c:v>
                </c:pt>
                <c:pt idx="23">
                  <c:v>1.5837930077376265E-3</c:v>
                </c:pt>
                <c:pt idx="24">
                  <c:v>1.5860605052708393E-3</c:v>
                </c:pt>
                <c:pt idx="25">
                  <c:v>1.5867655787618331E-3</c:v>
                </c:pt>
                <c:pt idx="26">
                  <c:v>1.5861574639255719E-3</c:v>
                </c:pt>
                <c:pt idx="27">
                  <c:v>1.5844516299061459E-3</c:v>
                </c:pt>
                <c:pt idx="28">
                  <c:v>1.5818341938972961E-3</c:v>
                </c:pt>
                <c:pt idx="29">
                  <c:v>1.5784657465729738E-3</c:v>
                </c:pt>
                <c:pt idx="30">
                  <c:v>1.574484673903068E-3</c:v>
                </c:pt>
                <c:pt idx="31">
                  <c:v>1.570010046020396E-3</c:v>
                </c:pt>
                <c:pt idx="32">
                  <c:v>1.5651441322732486E-3</c:v>
                </c:pt>
                <c:pt idx="33">
                  <c:v>1.559974592475146E-3</c:v>
                </c:pt>
                <c:pt idx="34">
                  <c:v>1.5545763869999167E-3</c:v>
                </c:pt>
                <c:pt idx="35">
                  <c:v>1.5490134423230824E-3</c:v>
                </c:pt>
                <c:pt idx="36">
                  <c:v>1.5433401035727229E-3</c:v>
                </c:pt>
                <c:pt idx="37">
                  <c:v>1.5376024014073476E-3</c:v>
                </c:pt>
                <c:pt idx="38">
                  <c:v>1.5318391569275923E-3</c:v>
                </c:pt>
                <c:pt idx="39">
                  <c:v>1.5260829452361157E-3</c:v>
                </c:pt>
                <c:pt idx="40">
                  <c:v>1.5203609355973577E-3</c:v>
                </c:pt>
                <c:pt idx="41">
                  <c:v>1.5146956238468218E-3</c:v>
                </c:pt>
                <c:pt idx="42">
                  <c:v>1.5091054707033682E-3</c:v>
                </c:pt>
                <c:pt idx="43">
                  <c:v>1.5036054579031957E-3</c:v>
                </c:pt>
                <c:pt idx="44">
                  <c:v>1.4982075725639831E-3</c:v>
                </c:pt>
                <c:pt idx="45">
                  <c:v>1.4929212288714092E-3</c:v>
                </c:pt>
                <c:pt idx="46">
                  <c:v>1.4877536350320305E-3</c:v>
                </c:pt>
                <c:pt idx="47">
                  <c:v>1.4827101124341806E-3</c:v>
                </c:pt>
                <c:pt idx="48">
                  <c:v>1.4777943730831828E-3</c:v>
                </c:pt>
                <c:pt idx="49">
                  <c:v>1.4730087606124422E-3</c:v>
                </c:pt>
                <c:pt idx="50">
                  <c:v>1.4683544595036977E-3</c:v>
                </c:pt>
                <c:pt idx="51">
                  <c:v>1.4638316765656734E-3</c:v>
                </c:pt>
                <c:pt idx="52">
                  <c:v>1.4594397982098152E-3</c:v>
                </c:pt>
                <c:pt idx="53">
                  <c:v>1.4551775266155227E-3</c:v>
                </c:pt>
                <c:pt idx="54">
                  <c:v>1.4510429974871147E-3</c:v>
                </c:pt>
                <c:pt idx="55">
                  <c:v>1.4470338817636774E-3</c:v>
                </c:pt>
                <c:pt idx="56">
                  <c:v>1.4431474733447303E-3</c:v>
                </c:pt>
                <c:pt idx="57">
                  <c:v>1.4393807646339392E-3</c:v>
                </c:pt>
                <c:pt idx="58">
                  <c:v>1.4357305114751735E-3</c:v>
                </c:pt>
                <c:pt idx="59">
                  <c:v>1.432193288855947E-3</c:v>
                </c:pt>
                <c:pt idx="60">
                  <c:v>1.4287655385790726E-3</c:v>
                </c:pt>
                <c:pt idx="61">
                  <c:v>1.4254436099510957E-3</c:v>
                </c:pt>
                <c:pt idx="62">
                  <c:v>1.4222237944029365E-3</c:v>
                </c:pt>
                <c:pt idx="63">
                  <c:v>1.419102354841823E-3</c:v>
                </c:pt>
                <c:pt idx="64">
                  <c:v>1.4160755504318866E-3</c:v>
                </c:pt>
                <c:pt idx="65">
                  <c:v>1.4131396574118991E-3</c:v>
                </c:pt>
                <c:pt idx="66">
                  <c:v>1.4102909864809391E-3</c:v>
                </c:pt>
                <c:pt idx="67">
                  <c:v>1.4075258972148931E-3</c:v>
                </c:pt>
                <c:pt idx="68">
                  <c:v>1.4048408099173516E-3</c:v>
                </c:pt>
                <c:pt idx="69">
                  <c:v>1.4022322152566461E-3</c:v>
                </c:pt>
                <c:pt idx="70">
                  <c:v>1.3996966819954655E-3</c:v>
                </c:pt>
                <c:pt idx="71">
                  <c:v>1.3972308630799436E-3</c:v>
                </c:pt>
                <c:pt idx="72">
                  <c:v>1.3948315003205383E-3</c:v>
                </c:pt>
                <c:pt idx="73">
                  <c:v>1.3924954278668532E-3</c:v>
                </c:pt>
                <c:pt idx="74">
                  <c:v>1.3902195746521935E-3</c:v>
                </c:pt>
                <c:pt idx="75">
                  <c:v>1.3880009659606315E-3</c:v>
                </c:pt>
                <c:pt idx="76">
                  <c:v>1.3858367242492839E-3</c:v>
                </c:pt>
                <c:pt idx="77">
                  <c:v>1.3837240693409568E-3</c:v>
                </c:pt>
                <c:pt idx="78">
                  <c:v>1.3816603180870205E-3</c:v>
                </c:pt>
                <c:pt idx="79">
                  <c:v>1.3796428835870401E-3</c:v>
                </c:pt>
                <c:pt idx="80">
                  <c:v>1.3776692740400263E-3</c:v>
                </c:pt>
                <c:pt idx="81">
                  <c:v>1.3757370912920478E-3</c:v>
                </c:pt>
                <c:pt idx="82">
                  <c:v>1.373844029136073E-3</c:v>
                </c:pt>
                <c:pt idx="83">
                  <c:v>1.3719878714122183E-3</c:v>
                </c:pt>
                <c:pt idx="84">
                  <c:v>1.3701664899498677E-3</c:v>
                </c:pt>
                <c:pt idx="85">
                  <c:v>1.3683778423872542E-3</c:v>
                </c:pt>
                <c:pt idx="86">
                  <c:v>1.3666199698990501E-3</c:v>
                </c:pt>
                <c:pt idx="87">
                  <c:v>1.3648909948580455E-3</c:v>
                </c:pt>
                <c:pt idx="88">
                  <c:v>1.3631891184531775E-3</c:v>
                </c:pt>
                <c:pt idx="89">
                  <c:v>1.3615126182828141E-3</c:v>
                </c:pt>
                <c:pt idx="90">
                  <c:v>1.3598598459393016E-3</c:v>
                </c:pt>
                <c:pt idx="91">
                  <c:v>1.3582292245982728E-3</c:v>
                </c:pt>
                <c:pt idx="92">
                  <c:v>1.3566192466240154E-3</c:v>
                </c:pt>
                <c:pt idx="93">
                  <c:v>1.3550284712003371E-3</c:v>
                </c:pt>
                <c:pt idx="94">
                  <c:v>1.3534555219947056E-3</c:v>
                </c:pt>
                <c:pt idx="95">
                  <c:v>1.3518990848620514E-3</c:v>
                </c:pt>
                <c:pt idx="96">
                  <c:v>1.3503579055933876E-3</c:v>
                </c:pt>
                <c:pt idx="97">
                  <c:v>1.3488307877133731E-3</c:v>
                </c:pt>
                <c:pt idx="98">
                  <c:v>1.3473165903300215E-3</c:v>
                </c:pt>
                <c:pt idx="99">
                  <c:v>1.3458142260390081E-3</c:v>
                </c:pt>
                <c:pt idx="100">
                  <c:v>1.3443226588843475E-3</c:v>
                </c:pt>
                <c:pt idx="101">
                  <c:v>1.3428409023766691E-3</c:v>
                </c:pt>
                <c:pt idx="102">
                  <c:v>1.341368017569817E-3</c:v>
                </c:pt>
                <c:pt idx="103">
                  <c:v>1.3399031111961093E-3</c:v>
                </c:pt>
                <c:pt idx="104">
                  <c:v>1.3384453338602452E-3</c:v>
                </c:pt>
                <c:pt idx="105">
                  <c:v>1.33699387829155E-3</c:v>
                </c:pt>
                <c:pt idx="106">
                  <c:v>1.3355479776540281E-3</c:v>
                </c:pt>
                <c:pt idx="107">
                  <c:v>1.3341069039134606E-3</c:v>
                </c:pt>
                <c:pt idx="108">
                  <c:v>1.3326699662606638E-3</c:v>
                </c:pt>
                <c:pt idx="109">
                  <c:v>1.3312365095898505E-3</c:v>
                </c:pt>
                <c:pt idx="110">
                  <c:v>1.3298059130309504E-3</c:v>
                </c:pt>
                <c:pt idx="111">
                  <c:v>1.3283775885346647E-3</c:v>
                </c:pt>
                <c:pt idx="112">
                  <c:v>1.3269509795089483E-3</c:v>
                </c:pt>
                <c:pt idx="113">
                  <c:v>1.3255255595055802E-3</c:v>
                </c:pt>
                <c:pt idx="114">
                  <c:v>1.3241008309554448E-3</c:v>
                </c:pt>
                <c:pt idx="115">
                  <c:v>1.3226763239511208E-3</c:v>
                </c:pt>
                <c:pt idx="116">
                  <c:v>1.3212515950753677E-3</c:v>
                </c:pt>
                <c:pt idx="117">
                  <c:v>1.3198262262740994E-3</c:v>
                </c:pt>
                <c:pt idx="118">
                  <c:v>1.3183998237724314E-3</c:v>
                </c:pt>
                <c:pt idx="119">
                  <c:v>1.3169720170324098E-3</c:v>
                </c:pt>
                <c:pt idx="120">
                  <c:v>1.3155424577510368E-3</c:v>
                </c:pt>
                <c:pt idx="121">
                  <c:v>1.314110818897235E-3</c:v>
                </c:pt>
                <c:pt idx="122">
                  <c:v>1.3126767937864142E-3</c:v>
                </c:pt>
                <c:pt idx="123">
                  <c:v>1.3112400951913235E-3</c:v>
                </c:pt>
                <c:pt idx="124">
                  <c:v>1.3098004544879211E-3</c:v>
                </c:pt>
                <c:pt idx="125">
                  <c:v>1.308357620835001E-3</c:v>
                </c:pt>
                <c:pt idx="126">
                  <c:v>1.3069113603863581E-3</c:v>
                </c:pt>
                <c:pt idx="127">
                  <c:v>1.3054614555343146E-3</c:v>
                </c:pt>
                <c:pt idx="128">
                  <c:v>1.3040077041834453E-3</c:v>
                </c:pt>
                <c:pt idx="129">
                  <c:v>1.3025499190533903E-3</c:v>
                </c:pt>
                <c:pt idx="130">
                  <c:v>1.3010879270096668E-3</c:v>
                </c:pt>
                <c:pt idx="131">
                  <c:v>1.2996215684214338E-3</c:v>
                </c:pt>
                <c:pt idx="132">
                  <c:v>1.2981506965451845E-3</c:v>
                </c:pt>
                <c:pt idx="133">
                  <c:v>1.296675176933393E-3</c:v>
                </c:pt>
                <c:pt idx="134">
                  <c:v>1.2951948868671554E-3</c:v>
                </c:pt>
                <c:pt idx="135">
                  <c:v>1.2937097148119114E-3</c:v>
                </c:pt>
                <c:pt idx="136">
                  <c:v>1.292219559895361E-3</c:v>
                </c:pt>
                <c:pt idx="137">
                  <c:v>1.2907243314067118E-3</c:v>
                </c:pt>
                <c:pt idx="138">
                  <c:v>1.2892239483164455E-3</c:v>
                </c:pt>
                <c:pt idx="139">
                  <c:v>1.2877183388157892E-3</c:v>
                </c:pt>
                <c:pt idx="140">
                  <c:v>1.2862074398751423E-3</c:v>
                </c:pt>
                <c:pt idx="141">
                  <c:v>1.2846911968207081E-3</c:v>
                </c:pt>
                <c:pt idx="142">
                  <c:v>1.2831695629286176E-3</c:v>
                </c:pt>
                <c:pt idx="143">
                  <c:v>1.2816424990358666E-3</c:v>
                </c:pt>
                <c:pt idx="144">
                  <c:v>1.2801099731674017E-3</c:v>
                </c:pt>
                <c:pt idx="145">
                  <c:v>1.2785719601787161E-3</c:v>
                </c:pt>
                <c:pt idx="146">
                  <c:v>1.2770284414133476E-3</c:v>
                </c:pt>
                <c:pt idx="147">
                  <c:v>1.2754794043746912E-3</c:v>
                </c:pt>
                <c:pt idx="148">
                  <c:v>1.273924842411552E-3</c:v>
                </c:pt>
                <c:pt idx="149">
                  <c:v>1.2723647544169068E-3</c:v>
                </c:pt>
                <c:pt idx="150">
                  <c:v>1.2707991445393332E-3</c:v>
                </c:pt>
                <c:pt idx="151">
                  <c:v>1.2692280219066192E-3</c:v>
                </c:pt>
                <c:pt idx="152">
                  <c:v>1.2676514003610564E-3</c:v>
                </c:pt>
                <c:pt idx="153">
                  <c:v>1.266069298205957E-3</c:v>
                </c:pt>
                <c:pt idx="154">
                  <c:v>1.2644817379629443E-3</c:v>
                </c:pt>
                <c:pt idx="155">
                  <c:v>1.2628887461395883E-3</c:v>
                </c:pt>
                <c:pt idx="156">
                  <c:v>1.2612903530069698E-3</c:v>
                </c:pt>
                <c:pt idx="157">
                  <c:v>1.2596865923867758E-3</c:v>
                </c:pt>
                <c:pt idx="158">
                  <c:v>1.2580775014475469E-3</c:v>
                </c:pt>
                <c:pt idx="159">
                  <c:v>1.2564631205097057E-3</c:v>
                </c:pt>
                <c:pt idx="160">
                  <c:v>1.2548434928590139E-3</c:v>
                </c:pt>
                <c:pt idx="161">
                  <c:v>1.2532186645681221E-3</c:v>
                </c:pt>
                <c:pt idx="162">
                  <c:v>1.2515886843258803E-3</c:v>
                </c:pt>
                <c:pt idx="163">
                  <c:v>1.249953603274103E-3</c:v>
                </c:pt>
                <c:pt idx="164">
                  <c:v>1.2483134748514813E-3</c:v>
                </c:pt>
                <c:pt idx="165">
                  <c:v>1.2466683546443593E-3</c:v>
                </c:pt>
                <c:pt idx="166">
                  <c:v>1.2450183002440923E-3</c:v>
                </c:pt>
                <c:pt idx="167">
                  <c:v>1.243363371110723E-3</c:v>
                </c:pt>
                <c:pt idx="168">
                  <c:v>1.2417036284427159E-3</c:v>
                </c:pt>
                <c:pt idx="169">
                  <c:v>1.2400391350525107E-3</c:v>
                </c:pt>
                <c:pt idx="170">
                  <c:v>1.2383699552476503E-3</c:v>
                </c:pt>
                <c:pt idx="171">
                  <c:v>1.2366961547172605E-3</c:v>
                </c:pt>
                <c:pt idx="172">
                  <c:v>1.2350178004236652E-3</c:v>
                </c:pt>
                <c:pt idx="173">
                  <c:v>1.2333349604989221E-3</c:v>
                </c:pt>
                <c:pt idx="174">
                  <c:v>1.2316477041460832E-3</c:v>
                </c:pt>
                <c:pt idx="175">
                  <c:v>1.2299561015449844E-3</c:v>
                </c:pt>
                <c:pt idx="176">
                  <c:v>1.2282602237623779E-3</c:v>
                </c:pt>
                <c:pt idx="177">
                  <c:v>1.22656014266623E-3</c:v>
                </c:pt>
                <c:pt idx="178">
                  <c:v>1.2248559308440171E-3</c:v>
                </c:pt>
                <c:pt idx="179">
                  <c:v>1.2231476615248466E-3</c:v>
                </c:pt>
                <c:pt idx="180">
                  <c:v>1.2214354085052542E-3</c:v>
                </c:pt>
                <c:pt idx="181">
                  <c:v>1.2197192460785208E-3</c:v>
                </c:pt>
                <c:pt idx="182">
                  <c:v>1.2179992489673658E-3</c:v>
                </c:pt>
                <c:pt idx="183">
                  <c:v>1.2162754922598743E-3</c:v>
                </c:pt>
                <c:pt idx="184">
                  <c:v>1.2145480513485287E-3</c:v>
                </c:pt>
                <c:pt idx="185">
                  <c:v>1.2128170018722102E-3</c:v>
                </c:pt>
                <c:pt idx="186">
                  <c:v>1.2110824196610536E-3</c:v>
                </c:pt>
                <c:pt idx="187">
                  <c:v>1.2093443806840273E-3</c:v>
                </c:pt>
                <c:pt idx="188">
                  <c:v>1.2076029609991365E-3</c:v>
                </c:pt>
                <c:pt idx="189">
                  <c:v>1.2058582367061269E-3</c:v>
                </c:pt>
                <c:pt idx="190">
                  <c:v>1.2041102839015951E-3</c:v>
                </c:pt>
                <c:pt idx="191">
                  <c:v>1.2023591786363987E-3</c:v>
                </c:pt>
                <c:pt idx="192">
                  <c:v>1.200604996875271E-3</c:v>
                </c:pt>
                <c:pt idx="193">
                  <c:v>1.1988478144585471E-3</c:v>
                </c:pt>
                <c:pt idx="194">
                  <c:v>1.197087707065912E-3</c:v>
                </c:pt>
                <c:pt idx="195">
                  <c:v>1.1953247501820862E-3</c:v>
                </c:pt>
                <c:pt idx="196">
                  <c:v>1.193559019064365E-3</c:v>
                </c:pt>
                <c:pt idx="197">
                  <c:v>1.1917905887119343E-3</c:v>
                </c:pt>
                <c:pt idx="198">
                  <c:v>1.1900195338368843E-3</c:v>
                </c:pt>
                <c:pt idx="199">
                  <c:v>1.188245928836853E-3</c:v>
                </c:pt>
                <c:pt idx="200">
                  <c:v>1.1864698477692239E-3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8A-4654-B215-C5C30C02B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5257640"/>
        <c:axId val="1075258296"/>
      </c:scatterChart>
      <c:valAx>
        <c:axId val="1075257640"/>
        <c:scaling>
          <c:orientation val="minMax"/>
          <c:max val="5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75258296"/>
        <c:crosses val="autoZero"/>
        <c:crossBetween val="midCat"/>
      </c:valAx>
      <c:valAx>
        <c:axId val="1075258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75257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0</xdr:rowOff>
    </xdr:from>
    <xdr:to>
      <xdr:col>1</xdr:col>
      <xdr:colOff>609600</xdr:colOff>
      <xdr:row>2</xdr:row>
      <xdr:rowOff>28575</xdr:rowOff>
    </xdr:to>
    <xdr:sp macro="[0]!Mai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" y="0"/>
          <a:ext cx="1533524" cy="46672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1100"/>
            <a:t>応答係数を計算する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514350</xdr:colOff>
          <xdr:row>2</xdr:row>
          <xdr:rowOff>104775</xdr:rowOff>
        </xdr:from>
        <xdr:to>
          <xdr:col>13</xdr:col>
          <xdr:colOff>609600</xdr:colOff>
          <xdr:row>3</xdr:row>
          <xdr:rowOff>152400</xdr:rowOff>
        </xdr:to>
        <xdr:sp macro="" textlink="">
          <xdr:nvSpPr>
            <xdr:cNvPr id="17419" name="OptionButton1" hidden="1">
              <a:extLst>
                <a:ext uri="{63B3BB69-23CF-44E3-9099-C40C66FF867C}">
                  <a14:compatExt spid="_x0000_s17419"/>
                </a:ext>
                <a:ext uri="{FF2B5EF4-FFF2-40B4-BE49-F238E27FC236}">
                  <a16:creationId xmlns:a16="http://schemas.microsoft.com/office/drawing/2014/main" id="{00000000-0008-0000-0100-00000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628650</xdr:colOff>
          <xdr:row>2</xdr:row>
          <xdr:rowOff>104775</xdr:rowOff>
        </xdr:from>
        <xdr:to>
          <xdr:col>14</xdr:col>
          <xdr:colOff>400050</xdr:colOff>
          <xdr:row>3</xdr:row>
          <xdr:rowOff>152400</xdr:rowOff>
        </xdr:to>
        <xdr:sp macro="" textlink="">
          <xdr:nvSpPr>
            <xdr:cNvPr id="17420" name="OptionButton2" hidden="1">
              <a:extLst>
                <a:ext uri="{63B3BB69-23CF-44E3-9099-C40C66FF867C}">
                  <a14:compatExt spid="_x0000_s17420"/>
                </a:ext>
                <a:ext uri="{FF2B5EF4-FFF2-40B4-BE49-F238E27FC236}">
                  <a16:creationId xmlns:a16="http://schemas.microsoft.com/office/drawing/2014/main" id="{00000000-0008-0000-0100-00000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447675</xdr:colOff>
          <xdr:row>2</xdr:row>
          <xdr:rowOff>104775</xdr:rowOff>
        </xdr:from>
        <xdr:to>
          <xdr:col>15</xdr:col>
          <xdr:colOff>342900</xdr:colOff>
          <xdr:row>3</xdr:row>
          <xdr:rowOff>152400</xdr:rowOff>
        </xdr:to>
        <xdr:sp macro="" textlink="">
          <xdr:nvSpPr>
            <xdr:cNvPr id="17421" name="OptionButton3" hidden="1">
              <a:extLst>
                <a:ext uri="{63B3BB69-23CF-44E3-9099-C40C66FF867C}">
                  <a14:compatExt spid="_x0000_s17421"/>
                </a:ext>
                <a:ext uri="{FF2B5EF4-FFF2-40B4-BE49-F238E27FC236}">
                  <a16:creationId xmlns:a16="http://schemas.microsoft.com/office/drawing/2014/main" id="{00000000-0008-0000-0100-00000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323850</xdr:colOff>
          <xdr:row>2</xdr:row>
          <xdr:rowOff>114300</xdr:rowOff>
        </xdr:from>
        <xdr:to>
          <xdr:col>16</xdr:col>
          <xdr:colOff>361950</xdr:colOff>
          <xdr:row>3</xdr:row>
          <xdr:rowOff>161925</xdr:rowOff>
        </xdr:to>
        <xdr:sp macro="" textlink="">
          <xdr:nvSpPr>
            <xdr:cNvPr id="17422" name="OptionButton4" hidden="1">
              <a:extLst>
                <a:ext uri="{63B3BB69-23CF-44E3-9099-C40C66FF867C}">
                  <a14:compatExt spid="_x0000_s17422"/>
                </a:ext>
                <a:ext uri="{FF2B5EF4-FFF2-40B4-BE49-F238E27FC236}">
                  <a16:creationId xmlns:a16="http://schemas.microsoft.com/office/drawing/2014/main" id="{00000000-0008-0000-0100-00000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390525</xdr:colOff>
          <xdr:row>2</xdr:row>
          <xdr:rowOff>123825</xdr:rowOff>
        </xdr:from>
        <xdr:to>
          <xdr:col>17</xdr:col>
          <xdr:colOff>57150</xdr:colOff>
          <xdr:row>3</xdr:row>
          <xdr:rowOff>171450</xdr:rowOff>
        </xdr:to>
        <xdr:sp macro="" textlink="">
          <xdr:nvSpPr>
            <xdr:cNvPr id="17423" name="OptionButton5" hidden="1">
              <a:extLst>
                <a:ext uri="{63B3BB69-23CF-44E3-9099-C40C66FF867C}">
                  <a14:compatExt spid="_x0000_s17423"/>
                </a:ext>
                <a:ext uri="{FF2B5EF4-FFF2-40B4-BE49-F238E27FC236}">
                  <a16:creationId xmlns:a16="http://schemas.microsoft.com/office/drawing/2014/main" id="{00000000-0008-0000-0100-00000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114300</xdr:colOff>
          <xdr:row>2</xdr:row>
          <xdr:rowOff>123825</xdr:rowOff>
        </xdr:from>
        <xdr:to>
          <xdr:col>17</xdr:col>
          <xdr:colOff>495300</xdr:colOff>
          <xdr:row>3</xdr:row>
          <xdr:rowOff>161925</xdr:rowOff>
        </xdr:to>
        <xdr:sp macro="" textlink="">
          <xdr:nvSpPr>
            <xdr:cNvPr id="17424" name="OptionButton6" hidden="1">
              <a:extLst>
                <a:ext uri="{63B3BB69-23CF-44E3-9099-C40C66FF867C}">
                  <a14:compatExt spid="_x0000_s17424"/>
                </a:ext>
                <a:ext uri="{FF2B5EF4-FFF2-40B4-BE49-F238E27FC236}">
                  <a16:creationId xmlns:a16="http://schemas.microsoft.com/office/drawing/2014/main" id="{00000000-0008-0000-0100-00001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385762</xdr:colOff>
      <xdr:row>785</xdr:row>
      <xdr:rowOff>85724</xdr:rowOff>
    </xdr:from>
    <xdr:to>
      <xdr:col>32</xdr:col>
      <xdr:colOff>461962</xdr:colOff>
      <xdr:row>806</xdr:row>
      <xdr:rowOff>28574</xdr:rowOff>
    </xdr:to>
    <xdr:graphicFrame macro="">
      <xdr:nvGraphicFramePr>
        <xdr:cNvPr id="9" name="グラフ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223837</xdr:colOff>
      <xdr:row>805</xdr:row>
      <xdr:rowOff>71437</xdr:rowOff>
    </xdr:from>
    <xdr:to>
      <xdr:col>10</xdr:col>
      <xdr:colOff>300037</xdr:colOff>
      <xdr:row>826</xdr:row>
      <xdr:rowOff>14287</xdr:rowOff>
    </xdr:to>
    <xdr:graphicFrame macro="">
      <xdr:nvGraphicFramePr>
        <xdr:cNvPr id="11" name="グラフ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76199</xdr:colOff>
      <xdr:row>803</xdr:row>
      <xdr:rowOff>114300</xdr:rowOff>
    </xdr:from>
    <xdr:to>
      <xdr:col>19</xdr:col>
      <xdr:colOff>152399</xdr:colOff>
      <xdr:row>824</xdr:row>
      <xdr:rowOff>57150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175260</xdr:colOff>
      <xdr:row>3977</xdr:row>
      <xdr:rowOff>30486</xdr:rowOff>
    </xdr:from>
    <xdr:to>
      <xdr:col>14</xdr:col>
      <xdr:colOff>198120</xdr:colOff>
      <xdr:row>3997</xdr:row>
      <xdr:rowOff>30486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175260</xdr:colOff>
      <xdr:row>3997</xdr:row>
      <xdr:rowOff>91446</xdr:rowOff>
    </xdr:from>
    <xdr:to>
      <xdr:col>14</xdr:col>
      <xdr:colOff>198120</xdr:colOff>
      <xdr:row>4017</xdr:row>
      <xdr:rowOff>91446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175260</xdr:colOff>
      <xdr:row>3997</xdr:row>
      <xdr:rowOff>91446</xdr:rowOff>
    </xdr:from>
    <xdr:to>
      <xdr:col>21</xdr:col>
      <xdr:colOff>533400</xdr:colOff>
      <xdr:row>4017</xdr:row>
      <xdr:rowOff>91446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atoh/Dropbox/users/&#20316;&#26989;&#20013;&#26989;&#21209;/&#22522;&#25972;&#20419;E7share/55_&#34920;&#38754;&#28201;&#24230;&#24540;&#31572;&#12398;&#12503;&#12525;&#12464;&#12521;&#12512;/20180105&#31777;&#26131;&#12471;&#12511;&#12517;&#12524;&#12540;&#12479;&#65288;&#12471;&#12531;&#12503;&#12523;&#65289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変更履歴"/>
      <sheetName val="入力データ"/>
      <sheetName val="計算条件"/>
      <sheetName val="開口部・建具"/>
      <sheetName val="庇"/>
      <sheetName val="壁体構成"/>
      <sheetName val="壁体構成（感度解析用）"/>
      <sheetName val="壁体構成（NEDO実験棟土壌10m）"/>
      <sheetName val="壁体構成（NEDO実験棟土間深さ検討用）"/>
      <sheetName val="壁体構成（単室モデル壁体構成）"/>
      <sheetName val="固定根"/>
      <sheetName val="応答係数"/>
      <sheetName val="気象データ"/>
      <sheetName val="主たる居室"/>
      <sheetName val="その他居室_寝室"/>
      <sheetName val="その他居室_子供室1"/>
      <sheetName val="その他居室_子供室2"/>
      <sheetName val="その他居室_和室"/>
      <sheetName val="非居室"/>
      <sheetName val="熱負荷・室温計算Template"/>
      <sheetName val="部位熱取得Template"/>
      <sheetName val="傾斜面日射量Template"/>
      <sheetName val="表面温度Template"/>
      <sheetName val="室内等価温度Template"/>
      <sheetName val="非定常畳み込みTemplate"/>
      <sheetName val="BRCTemplate"/>
      <sheetName val="BRMTemplate"/>
      <sheetName val="室内表面吸収日射Template"/>
      <sheetName val="相当外気温度Template"/>
      <sheetName val="開口部日射Template"/>
      <sheetName val="庇Template"/>
      <sheetName val="応答係数Template"/>
      <sheetName val="カレンダー"/>
      <sheetName val="局所換気スケジュール"/>
      <sheetName val="暖冷房スケジュール"/>
      <sheetName val="機器発熱スケジュール"/>
      <sheetName val="照明発熱スケジュール"/>
      <sheetName val="人体スケジュール"/>
    </sheetNames>
    <sheetDataSet>
      <sheetData sheetId="0" refreshError="1"/>
      <sheetData sheetId="1">
        <row r="2">
          <cell r="C2">
            <v>3600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5"/>
  <dimension ref="A1:C19"/>
  <sheetViews>
    <sheetView showGridLines="0" workbookViewId="0">
      <selection activeCell="C14" sqref="C14"/>
    </sheetView>
  </sheetViews>
  <sheetFormatPr defaultRowHeight="11.25"/>
  <cols>
    <col min="1" max="1" width="11.1640625" style="22" bestFit="1" customWidth="1"/>
    <col min="2" max="2" width="16.1640625" bestFit="1" customWidth="1"/>
    <col min="3" max="3" width="58.5" style="11" bestFit="1" customWidth="1"/>
  </cols>
  <sheetData>
    <row r="1" spans="1:3">
      <c r="A1" s="15" t="s">
        <v>0</v>
      </c>
      <c r="B1" s="15" t="s">
        <v>18</v>
      </c>
      <c r="C1" s="16" t="s">
        <v>19</v>
      </c>
    </row>
    <row r="2" spans="1:3">
      <c r="A2" s="20">
        <v>43306</v>
      </c>
      <c r="B2" s="3" t="s">
        <v>38</v>
      </c>
      <c r="C2" s="17" t="s">
        <v>39</v>
      </c>
    </row>
    <row r="3" spans="1:3">
      <c r="A3" s="20"/>
      <c r="B3" s="3"/>
      <c r="C3" s="17"/>
    </row>
    <row r="4" spans="1:3">
      <c r="A4" s="20"/>
      <c r="B4" s="3"/>
      <c r="C4" s="17"/>
    </row>
    <row r="5" spans="1:3">
      <c r="A5" s="20"/>
      <c r="B5" s="3"/>
      <c r="C5" s="17"/>
    </row>
    <row r="6" spans="1:3">
      <c r="A6" s="20"/>
      <c r="B6" s="3"/>
      <c r="C6" s="17"/>
    </row>
    <row r="7" spans="1:3">
      <c r="A7" s="20"/>
      <c r="B7" s="3"/>
      <c r="C7" s="17"/>
    </row>
    <row r="8" spans="1:3">
      <c r="A8" s="20"/>
      <c r="B8" s="3"/>
      <c r="C8" s="17"/>
    </row>
    <row r="9" spans="1:3">
      <c r="A9" s="20"/>
      <c r="B9" s="3"/>
      <c r="C9" s="17"/>
    </row>
    <row r="10" spans="1:3">
      <c r="A10" s="20"/>
      <c r="B10" s="17"/>
      <c r="C10" s="17"/>
    </row>
    <row r="11" spans="1:3">
      <c r="A11" s="20"/>
      <c r="B11" s="17"/>
      <c r="C11" s="17"/>
    </row>
    <row r="12" spans="1:3">
      <c r="A12" s="20"/>
      <c r="B12" s="17"/>
      <c r="C12" s="17"/>
    </row>
    <row r="13" spans="1:3">
      <c r="A13" s="20"/>
      <c r="B13" s="3"/>
      <c r="C13" s="17"/>
    </row>
    <row r="14" spans="1:3">
      <c r="A14" s="20"/>
      <c r="B14" s="19"/>
      <c r="C14" s="17"/>
    </row>
    <row r="15" spans="1:3">
      <c r="A15" s="20"/>
      <c r="B15" s="3"/>
      <c r="C15" s="17"/>
    </row>
    <row r="16" spans="1:3">
      <c r="A16" s="20"/>
      <c r="B16" s="19"/>
      <c r="C16" s="17"/>
    </row>
    <row r="17" spans="1:3">
      <c r="A17" s="20"/>
      <c r="B17" s="19"/>
      <c r="C17" s="17"/>
    </row>
    <row r="18" spans="1:3">
      <c r="A18" s="20"/>
      <c r="B18" s="3"/>
      <c r="C18" s="17"/>
    </row>
    <row r="19" spans="1:3">
      <c r="A19" s="20"/>
      <c r="B19" s="19"/>
      <c r="C19" s="17"/>
    </row>
  </sheetData>
  <phoneticPr fontId="3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Q13"/>
  <sheetViews>
    <sheetView showGridLines="0" workbookViewId="0">
      <pane xSplit="1" ySplit="5" topLeftCell="B6" activePane="bottomRight" state="frozen"/>
      <selection activeCell="K50" sqref="K50"/>
      <selection pane="topRight" activeCell="K50" sqref="K50"/>
      <selection pane="bottomLeft" activeCell="K50" sqref="K50"/>
      <selection pane="bottomRight" activeCell="G2" sqref="G2"/>
    </sheetView>
  </sheetViews>
  <sheetFormatPr defaultRowHeight="17.25" customHeight="1"/>
  <cols>
    <col min="1" max="1" width="16.1640625" bestFit="1" customWidth="1"/>
    <col min="2" max="2" width="38.83203125" bestFit="1" customWidth="1"/>
    <col min="3" max="3" width="11.1640625" bestFit="1" customWidth="1"/>
    <col min="4" max="4" width="11.6640625" bestFit="1" customWidth="1"/>
    <col min="5" max="5" width="6.33203125" bestFit="1" customWidth="1"/>
    <col min="6" max="6" width="13.6640625" bestFit="1" customWidth="1"/>
    <col min="7" max="7" width="18.33203125" bestFit="1" customWidth="1"/>
    <col min="8" max="8" width="14.33203125" bestFit="1" customWidth="1"/>
    <col min="9" max="9" width="19.1640625" bestFit="1" customWidth="1"/>
    <col min="10" max="11" width="19.1640625" customWidth="1"/>
    <col min="12" max="12" width="11.83203125" bestFit="1" customWidth="1"/>
    <col min="13" max="16" width="10.83203125" bestFit="1" customWidth="1"/>
    <col min="17" max="17" width="11.6640625" bestFit="1" customWidth="1"/>
  </cols>
  <sheetData>
    <row r="1" spans="1:17" ht="17.25" customHeight="1">
      <c r="C1" s="3" t="s">
        <v>11</v>
      </c>
      <c r="D1" s="6">
        <v>900</v>
      </c>
      <c r="E1" s="7" t="s">
        <v>12</v>
      </c>
      <c r="G1" s="3" t="s">
        <v>34</v>
      </c>
      <c r="H1" s="21">
        <f>1/(86400*365)</f>
        <v>3.1709791983764586E-8</v>
      </c>
      <c r="I1" s="21">
        <f>H1*$L$3</f>
        <v>1.0609884469193709E-7</v>
      </c>
      <c r="J1" s="21">
        <f t="shared" ref="J1:P1" si="0">I1*$L$3</f>
        <v>3.5499964335077801E-7</v>
      </c>
      <c r="K1" s="21">
        <f t="shared" si="0"/>
        <v>1.1878050806782888E-6</v>
      </c>
      <c r="L1" s="21">
        <f t="shared" si="0"/>
        <v>3.9743164144282072E-6</v>
      </c>
      <c r="M1" s="21">
        <f t="shared" si="0"/>
        <v>1.3297797104027989E-5</v>
      </c>
      <c r="N1" s="21">
        <f t="shared" si="0"/>
        <v>4.4493540367831091E-5</v>
      </c>
      <c r="O1" s="21">
        <f t="shared" si="0"/>
        <v>1.4887241239860385E-4</v>
      </c>
      <c r="P1" s="21">
        <f t="shared" si="0"/>
        <v>4.9811714217742637E-4</v>
      </c>
      <c r="Q1" s="3">
        <f>1/600</f>
        <v>1.6666666666666668E-3</v>
      </c>
    </row>
    <row r="2" spans="1:17" ht="17.25" customHeight="1">
      <c r="C2" s="3" t="s">
        <v>13</v>
      </c>
      <c r="D2" s="6">
        <v>50</v>
      </c>
      <c r="E2" s="7" t="s">
        <v>14</v>
      </c>
      <c r="G2" s="3" t="s">
        <v>35</v>
      </c>
      <c r="H2" s="21"/>
      <c r="I2" s="21"/>
      <c r="J2" s="21"/>
      <c r="K2" s="21"/>
      <c r="L2" s="21"/>
      <c r="M2" s="21"/>
      <c r="N2" s="21"/>
      <c r="O2" s="21"/>
      <c r="P2" s="21"/>
      <c r="Q2" s="21"/>
    </row>
    <row r="3" spans="1:17" ht="17.25" customHeight="1">
      <c r="C3" s="3" t="s">
        <v>37</v>
      </c>
      <c r="D3" s="25"/>
      <c r="E3" s="7" t="s">
        <v>14</v>
      </c>
      <c r="G3" s="23" t="s">
        <v>36</v>
      </c>
      <c r="H3" s="24"/>
      <c r="I3" s="24"/>
      <c r="J3" s="24"/>
      <c r="K3" s="24" t="s">
        <v>53</v>
      </c>
      <c r="L3" s="24">
        <f>(Q1/H1)^(1/9)</f>
        <v>3.3459331662049281</v>
      </c>
      <c r="M3" s="24"/>
    </row>
    <row r="4" spans="1:17" ht="17.25" customHeight="1">
      <c r="A4" s="1" t="s">
        <v>9</v>
      </c>
      <c r="B4" s="1" t="s">
        <v>8</v>
      </c>
      <c r="C4" s="1" t="s">
        <v>2</v>
      </c>
      <c r="D4" s="1" t="s">
        <v>3</v>
      </c>
      <c r="E4" s="1" t="s">
        <v>4</v>
      </c>
      <c r="F4" s="1" t="s">
        <v>5</v>
      </c>
      <c r="G4" s="1" t="s">
        <v>6</v>
      </c>
      <c r="H4" s="1" t="s">
        <v>16</v>
      </c>
      <c r="I4" s="1" t="s">
        <v>17</v>
      </c>
      <c r="J4" s="1" t="s">
        <v>22</v>
      </c>
      <c r="K4" s="1" t="s">
        <v>20</v>
      </c>
      <c r="L4" s="1" t="s">
        <v>10</v>
      </c>
      <c r="M4" s="24"/>
    </row>
    <row r="5" spans="1:17" ht="17.25" customHeight="1">
      <c r="A5" s="12"/>
      <c r="B5" s="12"/>
      <c r="C5" s="12" t="s">
        <v>24</v>
      </c>
      <c r="D5" s="12" t="s">
        <v>15</v>
      </c>
      <c r="E5" s="12" t="s">
        <v>7</v>
      </c>
      <c r="F5" s="12" t="s">
        <v>23</v>
      </c>
      <c r="G5" s="12" t="s">
        <v>25</v>
      </c>
      <c r="H5" s="12" t="s">
        <v>1</v>
      </c>
      <c r="I5" s="12" t="s">
        <v>1</v>
      </c>
      <c r="J5" s="12" t="s">
        <v>21</v>
      </c>
      <c r="K5" s="12" t="s">
        <v>21</v>
      </c>
      <c r="L5" s="12" t="s">
        <v>21</v>
      </c>
      <c r="N5" t="b">
        <v>0</v>
      </c>
    </row>
    <row r="6" spans="1:17" ht="17.25" customHeight="1">
      <c r="A6" s="8" t="s">
        <v>51</v>
      </c>
      <c r="B6" s="3" t="s">
        <v>40</v>
      </c>
      <c r="C6" s="26"/>
      <c r="D6" s="3"/>
      <c r="E6" s="3"/>
      <c r="F6" s="32">
        <v>4.09090909E-2</v>
      </c>
      <c r="G6" s="31">
        <v>7.47</v>
      </c>
      <c r="H6" s="8">
        <v>0.9</v>
      </c>
      <c r="I6" s="8">
        <v>0.8</v>
      </c>
      <c r="J6" s="8">
        <v>4.0999999999999996</v>
      </c>
      <c r="K6" s="8">
        <v>5</v>
      </c>
      <c r="L6" s="18">
        <f>1/(SUM(F6:F11)+1/SUM(J6:K6))</f>
        <v>0.30504306299814821</v>
      </c>
      <c r="N6" t="b">
        <v>0</v>
      </c>
    </row>
    <row r="7" spans="1:17" ht="17.25" customHeight="1">
      <c r="A7" s="9"/>
      <c r="B7" s="3" t="s">
        <v>41</v>
      </c>
      <c r="C7" s="26"/>
      <c r="D7" s="3"/>
      <c r="E7" s="3"/>
      <c r="F7" s="32">
        <v>7.0000000000000007E-2</v>
      </c>
      <c r="G7" s="31">
        <v>0</v>
      </c>
      <c r="H7" s="9"/>
      <c r="I7" s="9"/>
      <c r="J7" s="9"/>
      <c r="K7" s="9"/>
      <c r="L7" s="27"/>
      <c r="N7" t="b">
        <v>0</v>
      </c>
    </row>
    <row r="8" spans="1:17" ht="17.25" customHeight="1">
      <c r="A8" s="9"/>
      <c r="B8" s="3" t="s">
        <v>42</v>
      </c>
      <c r="C8" s="26"/>
      <c r="D8" s="3"/>
      <c r="E8" s="3"/>
      <c r="F8" s="32">
        <v>5.6250000000000001E-2</v>
      </c>
      <c r="G8" s="31">
        <v>180</v>
      </c>
      <c r="H8" s="9"/>
      <c r="I8" s="9"/>
      <c r="J8" s="9"/>
      <c r="K8" s="9"/>
      <c r="L8" s="27"/>
      <c r="N8" t="b">
        <v>0</v>
      </c>
    </row>
    <row r="9" spans="1:17" ht="17.25" customHeight="1">
      <c r="A9" s="9"/>
      <c r="B9" s="3" t="s">
        <v>43</v>
      </c>
      <c r="C9" s="26"/>
      <c r="D9" s="3"/>
      <c r="E9" s="3"/>
      <c r="F9" s="32">
        <v>2.9411764705999999</v>
      </c>
      <c r="G9" s="31">
        <v>3.6</v>
      </c>
      <c r="H9" s="9"/>
      <c r="I9" s="9"/>
      <c r="J9" s="9"/>
      <c r="K9" s="9"/>
      <c r="L9" s="29"/>
      <c r="N9" t="b">
        <v>0</v>
      </c>
    </row>
    <row r="10" spans="1:17" ht="17.25" customHeight="1">
      <c r="A10" s="9"/>
      <c r="B10" s="13" t="s">
        <v>52</v>
      </c>
      <c r="C10" s="26"/>
      <c r="D10" s="3"/>
      <c r="E10" s="13"/>
      <c r="F10" s="32">
        <v>0.02</v>
      </c>
      <c r="G10" s="31">
        <v>48</v>
      </c>
      <c r="H10" s="9"/>
      <c r="I10" s="9"/>
      <c r="J10" s="9"/>
      <c r="K10" s="9"/>
      <c r="L10" s="27"/>
      <c r="N10" t="b">
        <v>1</v>
      </c>
    </row>
    <row r="11" spans="1:17" ht="17.25" customHeight="1">
      <c r="A11" s="9"/>
      <c r="B11" s="13" t="s">
        <v>44</v>
      </c>
      <c r="C11" s="28">
        <v>25</v>
      </c>
      <c r="D11" s="3"/>
      <c r="E11" s="3"/>
      <c r="F11" s="32">
        <f t="shared" ref="F11" si="1">IF(E11&gt;0,E11/1000/C11,IF(E11=0,1/C11,0))</f>
        <v>0.04</v>
      </c>
      <c r="G11" s="31">
        <f t="shared" ref="G11" si="2">IF(E11&gt;0,D11*E11/1000,0)</f>
        <v>0</v>
      </c>
      <c r="H11" s="9"/>
      <c r="I11" s="9"/>
      <c r="J11" s="9"/>
      <c r="K11" s="9"/>
      <c r="L11" s="27"/>
    </row>
    <row r="12" spans="1:17" ht="17.25" customHeight="1">
      <c r="A12" s="9"/>
      <c r="F12" s="30">
        <f>SUM(F6:F11)</f>
        <v>3.1683355614999997</v>
      </c>
      <c r="H12" s="9"/>
      <c r="I12" s="9"/>
      <c r="J12" s="9"/>
      <c r="K12" s="9"/>
      <c r="L12" s="27"/>
    </row>
    <row r="13" spans="1:17" ht="17.25" customHeight="1">
      <c r="A13" s="10"/>
      <c r="H13" s="10"/>
      <c r="I13" s="10"/>
      <c r="J13" s="10"/>
      <c r="K13" s="10"/>
      <c r="L13" s="10"/>
    </row>
  </sheetData>
  <phoneticPr fontId="3"/>
  <conditionalFormatting sqref="B37:G1048576 F7:G11">
    <cfRule type="expression" dxfId="6" priority="449">
      <formula>$E7&lt;0</formula>
    </cfRule>
  </conditionalFormatting>
  <conditionalFormatting sqref="H8:L8 H9:K9">
    <cfRule type="expression" dxfId="5" priority="78">
      <formula>$E7&lt;0</formula>
    </cfRule>
  </conditionalFormatting>
  <conditionalFormatting sqref="H11:L11 H39:L1048576">
    <cfRule type="expression" dxfId="4" priority="75">
      <formula>$E9&lt;0</formula>
    </cfRule>
  </conditionalFormatting>
  <conditionalFormatting sqref="L6">
    <cfRule type="expression" dxfId="3" priority="47">
      <formula>#REF!&lt;0</formula>
    </cfRule>
  </conditionalFormatting>
  <conditionalFormatting sqref="L9">
    <cfRule type="expression" dxfId="2" priority="46">
      <formula>#REF!&lt;0</formula>
    </cfRule>
  </conditionalFormatting>
  <conditionalFormatting sqref="F6:G6">
    <cfRule type="expression" dxfId="1" priority="3">
      <formula>$E6&lt;0</formula>
    </cfRule>
  </conditionalFormatting>
  <conditionalFormatting sqref="H10:K10">
    <cfRule type="expression" dxfId="0" priority="454">
      <formula>#REF!&lt;0</formula>
    </cfRule>
  </conditionalFormatting>
  <pageMargins left="0.7" right="0.7" top="0.75" bottom="0.75" header="0.3" footer="0.3"/>
  <pageSetup paperSize="9" orientation="portrait" verticalDpi="1200" r:id="rId1"/>
  <drawing r:id="rId2"/>
  <legacyDrawing r:id="rId3"/>
  <controls>
    <mc:AlternateContent xmlns:mc="http://schemas.openxmlformats.org/markup-compatibility/2006">
      <mc:Choice Requires="x14">
        <control shapeId="17424" r:id="rId4" name="OptionButton6">
          <controlPr defaultSize="0" autoLine="0" linkedCell="N10" r:id="rId5">
            <anchor moveWithCells="1">
              <from>
                <xdr:col>17</xdr:col>
                <xdr:colOff>114300</xdr:colOff>
                <xdr:row>2</xdr:row>
                <xdr:rowOff>123825</xdr:rowOff>
              </from>
              <to>
                <xdr:col>17</xdr:col>
                <xdr:colOff>495300</xdr:colOff>
                <xdr:row>3</xdr:row>
                <xdr:rowOff>161925</xdr:rowOff>
              </to>
            </anchor>
          </controlPr>
        </control>
      </mc:Choice>
      <mc:Fallback>
        <control shapeId="17424" r:id="rId4" name="OptionButton6"/>
      </mc:Fallback>
    </mc:AlternateContent>
    <mc:AlternateContent xmlns:mc="http://schemas.openxmlformats.org/markup-compatibility/2006">
      <mc:Choice Requires="x14">
        <control shapeId="17423" r:id="rId6" name="OptionButton5">
          <controlPr defaultSize="0" autoLine="0" autoPict="0" linkedCell="N9" r:id="rId7">
            <anchor moveWithCells="1">
              <from>
                <xdr:col>16</xdr:col>
                <xdr:colOff>390525</xdr:colOff>
                <xdr:row>2</xdr:row>
                <xdr:rowOff>123825</xdr:rowOff>
              </from>
              <to>
                <xdr:col>17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17423" r:id="rId6" name="OptionButton5"/>
      </mc:Fallback>
    </mc:AlternateContent>
    <mc:AlternateContent xmlns:mc="http://schemas.openxmlformats.org/markup-compatibility/2006">
      <mc:Choice Requires="x14">
        <control shapeId="17419" r:id="rId8" name="OptionButton1">
          <controlPr defaultSize="0" autoLine="0" autoPict="0" linkedCell="N5" r:id="rId9">
            <anchor moveWithCells="1">
              <from>
                <xdr:col>12</xdr:col>
                <xdr:colOff>514350</xdr:colOff>
                <xdr:row>2</xdr:row>
                <xdr:rowOff>104775</xdr:rowOff>
              </from>
              <to>
                <xdr:col>13</xdr:col>
                <xdr:colOff>609600</xdr:colOff>
                <xdr:row>3</xdr:row>
                <xdr:rowOff>152400</xdr:rowOff>
              </to>
            </anchor>
          </controlPr>
        </control>
      </mc:Choice>
      <mc:Fallback>
        <control shapeId="17419" r:id="rId8" name="OptionButton1"/>
      </mc:Fallback>
    </mc:AlternateContent>
    <mc:AlternateContent xmlns:mc="http://schemas.openxmlformats.org/markup-compatibility/2006">
      <mc:Choice Requires="x14">
        <control shapeId="17420" r:id="rId10" name="OptionButton2">
          <controlPr defaultSize="0" autoLine="0" autoPict="0" linkedCell="N6" r:id="rId11">
            <anchor moveWithCells="1">
              <from>
                <xdr:col>13</xdr:col>
                <xdr:colOff>628650</xdr:colOff>
                <xdr:row>2</xdr:row>
                <xdr:rowOff>104775</xdr:rowOff>
              </from>
              <to>
                <xdr:col>14</xdr:col>
                <xdr:colOff>400050</xdr:colOff>
                <xdr:row>3</xdr:row>
                <xdr:rowOff>152400</xdr:rowOff>
              </to>
            </anchor>
          </controlPr>
        </control>
      </mc:Choice>
      <mc:Fallback>
        <control shapeId="17420" r:id="rId10" name="OptionButton2"/>
      </mc:Fallback>
    </mc:AlternateContent>
    <mc:AlternateContent xmlns:mc="http://schemas.openxmlformats.org/markup-compatibility/2006">
      <mc:Choice Requires="x14">
        <control shapeId="17421" r:id="rId12" name="OptionButton3">
          <controlPr defaultSize="0" autoLine="0" autoPict="0" linkedCell="N7" r:id="rId13">
            <anchor moveWithCells="1">
              <from>
                <xdr:col>14</xdr:col>
                <xdr:colOff>447675</xdr:colOff>
                <xdr:row>2</xdr:row>
                <xdr:rowOff>104775</xdr:rowOff>
              </from>
              <to>
                <xdr:col>15</xdr:col>
                <xdr:colOff>342900</xdr:colOff>
                <xdr:row>3</xdr:row>
                <xdr:rowOff>152400</xdr:rowOff>
              </to>
            </anchor>
          </controlPr>
        </control>
      </mc:Choice>
      <mc:Fallback>
        <control shapeId="17421" r:id="rId12" name="OptionButton3"/>
      </mc:Fallback>
    </mc:AlternateContent>
    <mc:AlternateContent xmlns:mc="http://schemas.openxmlformats.org/markup-compatibility/2006">
      <mc:Choice Requires="x14">
        <control shapeId="17422" r:id="rId14" name="OptionButton4">
          <controlPr defaultSize="0" autoLine="0" autoPict="0" linkedCell="N8" r:id="rId15">
            <anchor moveWithCells="1">
              <from>
                <xdr:col>15</xdr:col>
                <xdr:colOff>323850</xdr:colOff>
                <xdr:row>2</xdr:row>
                <xdr:rowOff>114300</xdr:rowOff>
              </from>
              <to>
                <xdr:col>16</xdr:col>
                <xdr:colOff>361950</xdr:colOff>
                <xdr:row>3</xdr:row>
                <xdr:rowOff>161925</xdr:rowOff>
              </to>
            </anchor>
          </controlPr>
        </control>
      </mc:Choice>
      <mc:Fallback>
        <control shapeId="17422" r:id="rId14" name="OptionButton4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N203"/>
  <sheetViews>
    <sheetView showGridLines="0"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3" sqref="D3"/>
    </sheetView>
  </sheetViews>
  <sheetFormatPr defaultRowHeight="11.25"/>
  <cols>
    <col min="1" max="1" width="8.6640625" customWidth="1"/>
    <col min="2" max="9" width="9.83203125" style="2" customWidth="1"/>
    <col min="15" max="161" width="9.83203125" customWidth="1"/>
  </cols>
  <sheetData>
    <row r="1" spans="1:14">
      <c r="B1" s="4" t="s">
        <v>50</v>
      </c>
      <c r="C1" s="4"/>
      <c r="D1" s="4"/>
      <c r="E1" s="5"/>
      <c r="F1" s="5"/>
      <c r="G1" s="5"/>
      <c r="H1" s="5"/>
      <c r="I1" s="5"/>
      <c r="J1" s="5"/>
      <c r="K1" s="5"/>
      <c r="L1" s="5"/>
      <c r="M1" s="5"/>
      <c r="N1" s="5"/>
    </row>
    <row r="2" spans="1:14" ht="33.75">
      <c r="B2" s="14" t="s">
        <v>26</v>
      </c>
      <c r="C2" s="14" t="s">
        <v>27</v>
      </c>
      <c r="D2" s="14" t="s">
        <v>28</v>
      </c>
      <c r="E2" s="14" t="s">
        <v>29</v>
      </c>
      <c r="F2" s="14" t="s">
        <v>45</v>
      </c>
      <c r="G2" s="14" t="s">
        <v>46</v>
      </c>
      <c r="H2" s="14" t="s">
        <v>30</v>
      </c>
      <c r="I2" s="14" t="s">
        <v>31</v>
      </c>
      <c r="J2" s="14" t="s">
        <v>32</v>
      </c>
      <c r="K2" s="14" t="s">
        <v>33</v>
      </c>
      <c r="L2" s="14" t="s">
        <v>47</v>
      </c>
      <c r="M2" s="14" t="s">
        <v>48</v>
      </c>
      <c r="N2" s="14" t="s">
        <v>49</v>
      </c>
    </row>
    <row r="3" spans="1:14">
      <c r="A3">
        <v>1</v>
      </c>
      <c r="B3" s="2">
        <v>-3.2470724045907673E-4</v>
      </c>
      <c r="C3" s="2">
        <v>1.1005025148803416E-2</v>
      </c>
      <c r="D3" s="2">
        <v>2.2364745391584622E-5</v>
      </c>
      <c r="E3" s="2">
        <v>5.926864020036994E-2</v>
      </c>
      <c r="F3" s="2">
        <v>9.0155776825213252E-2</v>
      </c>
      <c r="G3" s="2">
        <v>0.38925314886546403</v>
      </c>
      <c r="H3" s="2">
        <v>3.1709791983764586E-8</v>
      </c>
      <c r="I3" s="2">
        <v>0.99997146159444261</v>
      </c>
      <c r="J3">
        <v>-2.5728654089464554E-6</v>
      </c>
      <c r="K3">
        <v>-1.1108505714293353E-5</v>
      </c>
      <c r="L3">
        <v>1.733543572712238E-8</v>
      </c>
      <c r="M3">
        <v>0.99010050051919851</v>
      </c>
      <c r="N3">
        <v>3.1385181790186398</v>
      </c>
    </row>
    <row r="4" spans="1:14">
      <c r="A4">
        <v>2</v>
      </c>
      <c r="B4" s="2">
        <v>1.0683252371025394E-4</v>
      </c>
      <c r="C4" s="2">
        <v>9.1237128362886263E-2</v>
      </c>
      <c r="D4" s="2">
        <v>-2.1046061762996642E-5</v>
      </c>
      <c r="E4" s="2">
        <v>4.7073627858119839E-2</v>
      </c>
      <c r="F4" s="2">
        <v>-0.25662017922149971</v>
      </c>
      <c r="G4" s="2">
        <v>-1.0544527920901601</v>
      </c>
      <c r="H4" s="2">
        <v>1.0609884469193709E-7</v>
      </c>
      <c r="I4" s="2">
        <v>0.99990451559870286</v>
      </c>
      <c r="J4">
        <v>2.4502054317279959E-5</v>
      </c>
      <c r="K4">
        <v>1.0067898660650629E-4</v>
      </c>
      <c r="L4">
        <v>3.1709791983764586E-8</v>
      </c>
      <c r="M4">
        <v>0.98203769084311832</v>
      </c>
      <c r="N4">
        <v>3.1142328636363308</v>
      </c>
    </row>
    <row r="5" spans="1:14">
      <c r="A5">
        <v>3</v>
      </c>
      <c r="B5" s="2">
        <v>-1.1022062689452282E-4</v>
      </c>
      <c r="C5" s="2">
        <v>0.11741966830528838</v>
      </c>
      <c r="D5" s="2">
        <v>-1.7182777893714075E-4</v>
      </c>
      <c r="E5" s="2">
        <v>1.7770693293492394E-2</v>
      </c>
      <c r="F5" s="2">
        <v>0.39762826689729991</v>
      </c>
      <c r="G5" s="2">
        <v>1.4868096073769266</v>
      </c>
      <c r="H5" s="2">
        <v>3.5499964335077801E-7</v>
      </c>
      <c r="I5" s="2">
        <v>0.99968055135557143</v>
      </c>
      <c r="J5">
        <v>-1.2700152129381395E-4</v>
      </c>
      <c r="K5">
        <v>-4.7488344700578964E-4</v>
      </c>
      <c r="L5">
        <v>5.8003209349992615E-8</v>
      </c>
      <c r="M5">
        <v>0.96762025964756615</v>
      </c>
      <c r="N5">
        <v>3.0708071866243354</v>
      </c>
    </row>
    <row r="6" spans="1:14">
      <c r="A6">
        <v>4</v>
      </c>
      <c r="B6" s="2">
        <v>-1.9040923037414887E-4</v>
      </c>
      <c r="C6" s="2">
        <v>0.12966439689167092</v>
      </c>
      <c r="D6" s="2">
        <v>4.6569623570030946E-5</v>
      </c>
      <c r="E6" s="2">
        <v>9.7408478376410351E-3</v>
      </c>
      <c r="F6" s="2">
        <v>-1.0174695762016199</v>
      </c>
      <c r="G6" s="2">
        <v>-3.2653912646728713</v>
      </c>
      <c r="H6" s="2">
        <v>1.1878050806782888E-6</v>
      </c>
      <c r="I6" s="2">
        <v>0.99893154663059636</v>
      </c>
      <c r="J6">
        <v>1.086537925611744E-3</v>
      </c>
      <c r="K6">
        <v>3.4870540938172594E-3</v>
      </c>
      <c r="L6">
        <v>1.0609884469193709E-7</v>
      </c>
      <c r="M6">
        <v>0.94230262839265411</v>
      </c>
      <c r="N6">
        <v>2.9945493773834366</v>
      </c>
    </row>
    <row r="7" spans="1:14">
      <c r="A7">
        <v>5</v>
      </c>
      <c r="B7" s="2">
        <v>-1.4802160799928875E-5</v>
      </c>
      <c r="C7" s="2">
        <v>0.13763915467046353</v>
      </c>
      <c r="D7" s="2">
        <v>2.9837545417303119E-4</v>
      </c>
      <c r="E7" s="2">
        <v>7.0327121232907058E-3</v>
      </c>
      <c r="F7" s="2">
        <v>-0.27209673105380716</v>
      </c>
      <c r="G7" s="2">
        <v>-0.70072579248153488</v>
      </c>
      <c r="H7" s="2">
        <v>3.9743164144282072E-6</v>
      </c>
      <c r="I7" s="2">
        <v>0.99642950465899671</v>
      </c>
      <c r="J7">
        <v>9.6978467255533706E-4</v>
      </c>
      <c r="K7">
        <v>2.4974689353338929E-3</v>
      </c>
      <c r="L7">
        <v>1.9407486191046809E-7</v>
      </c>
      <c r="M7">
        <v>0.89922639715309882</v>
      </c>
      <c r="N7">
        <v>2.8648004640564255</v>
      </c>
    </row>
    <row r="8" spans="1:14">
      <c r="A8">
        <v>6</v>
      </c>
      <c r="B8" s="2">
        <v>4.0068614418315509E-4</v>
      </c>
      <c r="C8" s="2">
        <v>0.14395345385042033</v>
      </c>
      <c r="D8" s="2">
        <v>5.2031779895158714E-4</v>
      </c>
      <c r="E8" s="2">
        <v>5.8736316378536794E-3</v>
      </c>
      <c r="F8" s="2">
        <v>6.4493048509348228E-2</v>
      </c>
      <c r="G8" s="2">
        <v>0.12512916486502945</v>
      </c>
      <c r="H8" s="2">
        <v>1.3297797104027989E-5</v>
      </c>
      <c r="I8" s="2">
        <v>0.98810331447594135</v>
      </c>
      <c r="J8">
        <v>-7.6268052627687425E-4</v>
      </c>
      <c r="K8">
        <v>-1.4797498260299075E-3</v>
      </c>
      <c r="L8">
        <v>3.5499964335077801E-7</v>
      </c>
      <c r="M8">
        <v>0.82973044916265382</v>
      </c>
      <c r="N8">
        <v>2.6554689306783694</v>
      </c>
    </row>
    <row r="9" spans="1:14">
      <c r="A9">
        <v>7</v>
      </c>
      <c r="B9" s="2">
        <v>1.0197606315817251E-3</v>
      </c>
      <c r="C9" s="2">
        <v>0.14947319025828978</v>
      </c>
      <c r="D9" s="2">
        <v>7.0650847455831463E-4</v>
      </c>
      <c r="E9" s="2">
        <v>5.2862530678524601E-3</v>
      </c>
      <c r="F9" s="2">
        <v>-2.8591920238227431E-2</v>
      </c>
      <c r="G9" s="2">
        <v>-3.9960862942280073E-2</v>
      </c>
      <c r="H9" s="2">
        <v>4.4493540367831091E-5</v>
      </c>
      <c r="I9" s="2">
        <v>0.96074698633002154</v>
      </c>
      <c r="J9">
        <v>1.1001448274287724E-3</v>
      </c>
      <c r="K9">
        <v>1.5375930087676065E-3</v>
      </c>
      <c r="L9">
        <v>6.4936151719287664E-7</v>
      </c>
      <c r="M9">
        <v>0.72668999188263717</v>
      </c>
      <c r="N9">
        <v>2.3450837131454816</v>
      </c>
    </row>
    <row r="10" spans="1:14">
      <c r="A10">
        <v>8</v>
      </c>
      <c r="B10" s="2">
        <v>1.8085161550387761E-3</v>
      </c>
      <c r="C10" s="2">
        <v>0.15456816531341069</v>
      </c>
      <c r="D10" s="2">
        <v>8.6157927745199303E-4</v>
      </c>
      <c r="E10" s="2">
        <v>4.9665729481172486E-3</v>
      </c>
      <c r="F10" s="2">
        <v>2.2637883557479199E-2</v>
      </c>
      <c r="G10" s="2">
        <v>2.1792151364365964E-2</v>
      </c>
      <c r="H10" s="2">
        <v>1.4887241239860385E-4</v>
      </c>
      <c r="I10" s="2">
        <v>0.87460303385672589</v>
      </c>
      <c r="J10">
        <v>-2.656765022313194E-3</v>
      </c>
      <c r="K10">
        <v>-2.5575105269359031E-3</v>
      </c>
      <c r="L10">
        <v>1.1878050806782888E-6</v>
      </c>
      <c r="M10">
        <v>0.59156809666889554</v>
      </c>
      <c r="N10">
        <v>1.9380254418203733</v>
      </c>
    </row>
    <row r="11" spans="1:14">
      <c r="A11">
        <v>9</v>
      </c>
      <c r="B11" s="2">
        <v>2.7386552654761944E-3</v>
      </c>
      <c r="C11" s="2">
        <v>0.15942973192296528</v>
      </c>
      <c r="D11" s="2">
        <v>9.909627765533305E-4</v>
      </c>
      <c r="E11" s="2">
        <v>4.7924499156581386E-3</v>
      </c>
      <c r="F11" s="2">
        <v>1.4517010868360103E-3</v>
      </c>
      <c r="G11" s="2">
        <v>-3.7964243268561404E-2</v>
      </c>
      <c r="H11" s="2">
        <v>4.9811714217742637E-4</v>
      </c>
      <c r="I11" s="2">
        <v>0.63870957447531362</v>
      </c>
      <c r="J11">
        <v>-4.2268429321624425E-4</v>
      </c>
      <c r="K11">
        <v>1.1053852255794415E-2</v>
      </c>
      <c r="L11">
        <v>2.1727202372327977E-6</v>
      </c>
      <c r="M11">
        <v>0.44030034594592637</v>
      </c>
      <c r="N11">
        <v>1.4822393648433336</v>
      </c>
    </row>
    <row r="12" spans="1:14">
      <c r="A12">
        <v>10</v>
      </c>
      <c r="B12" s="2">
        <v>3.7869343520739386E-3</v>
      </c>
      <c r="C12" s="2">
        <v>0.16416668466228787</v>
      </c>
      <c r="D12" s="2">
        <v>1.0992057672092985E-3</v>
      </c>
      <c r="E12" s="2">
        <v>4.7024423474856213E-3</v>
      </c>
      <c r="F12" s="2">
        <v>-1.9129774014814416E-3</v>
      </c>
      <c r="G12" s="2">
        <v>-8.1819653367574574E-2</v>
      </c>
      <c r="H12" s="2">
        <v>1.6666666666666668E-3</v>
      </c>
      <c r="I12" s="2">
        <v>0.22313016014842982</v>
      </c>
      <c r="J12">
        <v>7.6968868683294298E-4</v>
      </c>
      <c r="K12">
        <v>3.2920232883486056E-2</v>
      </c>
      <c r="L12">
        <v>3.9743164144282072E-6</v>
      </c>
      <c r="M12">
        <v>0.29823314041460819</v>
      </c>
      <c r="N12">
        <v>1.0539751905778176</v>
      </c>
    </row>
    <row r="13" spans="1:14">
      <c r="A13">
        <v>11</v>
      </c>
      <c r="B13" s="2">
        <v>4.9341561140294763E-3</v>
      </c>
      <c r="C13" s="2">
        <v>0.16884256362982186</v>
      </c>
      <c r="D13" s="2">
        <v>1.1899105360811601E-3</v>
      </c>
      <c r="E13" s="2">
        <v>4.6614396705524771E-3</v>
      </c>
      <c r="L13">
        <v>7.2697767026418568E-6</v>
      </c>
      <c r="M13">
        <v>0.18522869499846403</v>
      </c>
      <c r="N13">
        <v>0.71290137247930407</v>
      </c>
    </row>
    <row r="14" spans="1:14">
      <c r="A14">
        <v>12</v>
      </c>
      <c r="B14" s="2">
        <v>6.1643175872702002E-3</v>
      </c>
      <c r="C14" s="2">
        <v>0.17349407855693019</v>
      </c>
      <c r="D14" s="2">
        <v>1.2659330470992773E-3</v>
      </c>
      <c r="E14" s="2">
        <v>4.6483176804046232E-3</v>
      </c>
      <c r="L14">
        <v>1.3297797104027989E-5</v>
      </c>
      <c r="M14">
        <v>0.1067199289125184</v>
      </c>
      <c r="N14">
        <v>0.47512132735256574</v>
      </c>
    </row>
    <row r="15" spans="1:14">
      <c r="A15">
        <v>13</v>
      </c>
      <c r="B15" s="2">
        <v>7.4639647826510039E-3</v>
      </c>
      <c r="C15" s="2">
        <v>0.17814161864415745</v>
      </c>
      <c r="D15" s="2">
        <v>1.3295695029834132E-3</v>
      </c>
      <c r="E15" s="2">
        <v>4.6502045722567669E-3</v>
      </c>
      <c r="L15">
        <v>2.4324186980273292E-5</v>
      </c>
      <c r="M15">
        <v>5.7318969605858548E-2</v>
      </c>
      <c r="N15">
        <v>0.3239783181343151</v>
      </c>
    </row>
    <row r="16" spans="1:14">
      <c r="A16">
        <v>14</v>
      </c>
      <c r="B16" s="2">
        <v>8.8217101227765667E-3</v>
      </c>
      <c r="C16" s="2">
        <v>0.18279563885089303</v>
      </c>
      <c r="D16" s="2">
        <v>1.3826953451567718E-3</v>
      </c>
      <c r="E16" s="2">
        <v>4.6593046939851033E-3</v>
      </c>
      <c r="L16">
        <v>4.4493540367831091E-5</v>
      </c>
      <c r="M16">
        <v>2.8402130193082322E-2</v>
      </c>
      <c r="N16">
        <v>0.23283734902150738</v>
      </c>
    </row>
    <row r="17" spans="1:14">
      <c r="A17">
        <v>15</v>
      </c>
      <c r="B17" s="2">
        <v>1.0227866774252791E-2</v>
      </c>
      <c r="C17" s="2">
        <v>0.1874606260548729</v>
      </c>
      <c r="D17" s="2">
        <v>1.4268641082717868E-3</v>
      </c>
      <c r="E17" s="2">
        <v>4.6709837364660297E-3</v>
      </c>
      <c r="L17">
        <v>8.1387103958266486E-5</v>
      </c>
      <c r="M17">
        <v>1.256556124618681E-2</v>
      </c>
      <c r="N17">
        <v>0.17851715318443839</v>
      </c>
    </row>
    <row r="18" spans="1:14">
      <c r="A18">
        <v>16</v>
      </c>
      <c r="B18" s="2">
        <v>1.1674165799802553E-2</v>
      </c>
      <c r="C18" s="2">
        <v>0.19213757218692809</v>
      </c>
      <c r="D18" s="2">
        <v>1.4633777443736941E-3</v>
      </c>
      <c r="E18" s="2">
        <v>4.6825758831680209E-3</v>
      </c>
      <c r="L18">
        <v>1.4887241239860385E-4</v>
      </c>
      <c r="M18">
        <v>4.6639227215553363E-3</v>
      </c>
      <c r="N18">
        <v>0.1446496325678166</v>
      </c>
    </row>
    <row r="19" spans="1:14">
      <c r="A19">
        <v>17</v>
      </c>
      <c r="B19" s="2">
        <v>1.3153532641268862E-2</v>
      </c>
      <c r="C19" s="2">
        <v>0.19682550995612141</v>
      </c>
      <c r="D19" s="2">
        <v>1.493337459130651E-3</v>
      </c>
      <c r="E19" s="2">
        <v>4.6926328015377897E-3</v>
      </c>
      <c r="L19">
        <v>2.7231581043533226E-4</v>
      </c>
      <c r="M19">
        <v>1.3168581564050224E-3</v>
      </c>
      <c r="N19">
        <v>0.12071426432283822</v>
      </c>
    </row>
    <row r="20" spans="1:14">
      <c r="A20">
        <v>18</v>
      </c>
      <c r="B20" s="2">
        <v>1.4659906966077741E-2</v>
      </c>
      <c r="C20" s="2">
        <v>0.20152245733170021</v>
      </c>
      <c r="D20" s="2">
        <v>1.5176812758271813E-3</v>
      </c>
      <c r="E20" s="2">
        <v>4.7004500187140148E-3</v>
      </c>
      <c r="L20">
        <v>4.9811714217742637E-4</v>
      </c>
      <c r="M20">
        <v>2.4718762170358548E-4</v>
      </c>
      <c r="N20">
        <v>0.10050554196985756</v>
      </c>
    </row>
    <row r="21" spans="1:14">
      <c r="A21">
        <v>19</v>
      </c>
      <c r="B21" s="2">
        <v>1.618809495614475E-2</v>
      </c>
      <c r="C21" s="2">
        <v>0.206225989450188</v>
      </c>
      <c r="D21" s="2">
        <v>1.5372124634925603E-3</v>
      </c>
      <c r="E21" s="2">
        <v>4.7057689321976116E-3</v>
      </c>
      <c r="L21">
        <v>9.1115050181755236E-4</v>
      </c>
      <c r="M21">
        <v>2.6109181004694828E-5</v>
      </c>
      <c r="N21">
        <v>8.121045297003357E-2</v>
      </c>
    </row>
    <row r="22" spans="1:14">
      <c r="A22">
        <v>20</v>
      </c>
      <c r="B22" s="2">
        <v>1.773364645912745E-2</v>
      </c>
      <c r="C22" s="2">
        <v>0.21093357664396845</v>
      </c>
      <c r="D22" s="2">
        <v>1.5526215677987879E-3</v>
      </c>
      <c r="E22" s="2">
        <v>4.7085902588848141E-3</v>
      </c>
      <c r="L22">
        <v>1.6666666666666668E-3</v>
      </c>
      <c r="M22">
        <v>1.2752526678236341E-6</v>
      </c>
      <c r="N22">
        <v>6.270971997194151E-2</v>
      </c>
    </row>
    <row r="23" spans="1:14">
      <c r="A23">
        <v>21</v>
      </c>
      <c r="B23" s="2">
        <v>1.9292751637749534E-2</v>
      </c>
      <c r="C23" s="2">
        <v>0.21564277658867351</v>
      </c>
      <c r="D23" s="2">
        <v>1.5645038676002591E-3</v>
      </c>
      <c r="E23" s="2">
        <v>4.7090581462839211E-3</v>
      </c>
    </row>
    <row r="24" spans="1:14">
      <c r="A24">
        <v>22</v>
      </c>
      <c r="B24" s="2">
        <v>2.086215323514954E-2</v>
      </c>
      <c r="C24" s="2">
        <v>0.22035133631636758</v>
      </c>
      <c r="D24" s="2">
        <v>1.5733734834097422E-3</v>
      </c>
      <c r="E24" s="2">
        <v>4.7073889962411693E-3</v>
      </c>
    </row>
    <row r="25" spans="1:14">
      <c r="A25">
        <v>23</v>
      </c>
      <c r="B25" s="2">
        <v>2.243907157847666E-2</v>
      </c>
      <c r="C25" s="2">
        <v>0.22505723931327465</v>
      </c>
      <c r="D25" s="2">
        <v>1.5796749747451564E-3</v>
      </c>
      <c r="E25" s="2">
        <v>4.7038284863008149E-3</v>
      </c>
    </row>
    <row r="26" spans="1:14">
      <c r="A26">
        <v>24</v>
      </c>
      <c r="B26" s="2">
        <v>2.4021140134431761E-2</v>
      </c>
      <c r="C26" s="2">
        <v>0.22975871986073737</v>
      </c>
      <c r="D26" s="2">
        <v>1.5837930077376265E-3</v>
      </c>
      <c r="E26" s="2">
        <v>4.6986262872926211E-3</v>
      </c>
    </row>
    <row r="27" spans="1:14">
      <c r="A27">
        <v>25</v>
      </c>
      <c r="B27" s="2">
        <v>2.5606349915881912E-2</v>
      </c>
      <c r="C27" s="2">
        <v>0.23445425847937265</v>
      </c>
      <c r="D27" s="2">
        <v>1.5860605052708393E-3</v>
      </c>
      <c r="E27" s="2">
        <v>4.6920218095731353E-3</v>
      </c>
    </row>
    <row r="28" spans="1:14">
      <c r="A28">
        <v>26</v>
      </c>
      <c r="B28" s="2">
        <v>2.7193001386940949E-2</v>
      </c>
      <c r="C28" s="2">
        <v>0.23914256707285958</v>
      </c>
      <c r="D28" s="2">
        <v>1.5867655787618331E-3</v>
      </c>
      <c r="E28" s="2">
        <v>4.6842367538045271E-3</v>
      </c>
    </row>
    <row r="29" spans="1:14">
      <c r="A29">
        <v>27</v>
      </c>
      <c r="B29" s="2">
        <v>2.8779662769817003E-2</v>
      </c>
      <c r="C29" s="2">
        <v>0.24382256903818011</v>
      </c>
      <c r="D29" s="2">
        <v>1.5861574639255719E-3</v>
      </c>
      <c r="E29" s="2">
        <v>4.6754717984241329E-3</v>
      </c>
    </row>
    <row r="30" spans="1:14">
      <c r="A30">
        <v>28</v>
      </c>
      <c r="B30" s="2">
        <v>3.0365133849398551E-2</v>
      </c>
      <c r="C30" s="2">
        <v>0.24849337751058698</v>
      </c>
      <c r="D30" s="2">
        <v>1.5844516299061459E-3</v>
      </c>
      <c r="E30" s="2">
        <v>4.6659057461669751E-3</v>
      </c>
    </row>
    <row r="31" spans="1:14">
      <c r="A31">
        <v>29</v>
      </c>
      <c r="B31" s="2">
        <v>3.194841452021286E-2</v>
      </c>
      <c r="C31" s="2">
        <v>0.2531542735958674</v>
      </c>
      <c r="D31" s="2">
        <v>1.5818341938972961E-3</v>
      </c>
      <c r="E31" s="2">
        <v>4.655696081150699E-3</v>
      </c>
    </row>
    <row r="32" spans="1:14">
      <c r="A32">
        <v>30</v>
      </c>
      <c r="B32" s="2">
        <v>3.3528677437692798E-2</v>
      </c>
      <c r="C32" s="2">
        <v>0.25780468562360015</v>
      </c>
      <c r="D32" s="2">
        <v>1.5784657465729738E-3</v>
      </c>
      <c r="E32" s="2">
        <v>4.6449802869827994E-3</v>
      </c>
    </row>
    <row r="33" spans="1:5">
      <c r="A33">
        <v>31</v>
      </c>
      <c r="B33" s="2">
        <v>3.5105244230178655E-2</v>
      </c>
      <c r="C33" s="2">
        <v>0.26244416995093517</v>
      </c>
      <c r="D33" s="2">
        <v>1.574484673903068E-3</v>
      </c>
      <c r="E33" s="2">
        <v>4.6338775286351806E-3</v>
      </c>
    </row>
    <row r="34" spans="1:5">
      <c r="A34">
        <v>32</v>
      </c>
      <c r="B34" s="2">
        <v>3.6677564805541303E-2</v>
      </c>
      <c r="C34" s="2">
        <v>0.26707239354084072</v>
      </c>
      <c r="D34" s="2">
        <v>1.570010046020396E-3</v>
      </c>
      <c r="E34" s="2">
        <v>4.6224904597565869E-3</v>
      </c>
    </row>
    <row r="35" spans="1:5">
      <c r="A35">
        <v>33</v>
      </c>
      <c r="B35" s="2">
        <v>3.8245199350733415E-2</v>
      </c>
      <c r="C35" s="2">
        <v>0.27168911835798815</v>
      </c>
      <c r="D35" s="2">
        <v>1.5651441322732486E-3</v>
      </c>
      <c r="E35" s="2">
        <v>4.6109070166670957E-3</v>
      </c>
    </row>
    <row r="36" spans="1:5">
      <c r="A36">
        <v>34</v>
      </c>
      <c r="B36" s="2">
        <v>3.9807802676822816E-2</v>
      </c>
      <c r="C36" s="2">
        <v>0.27629418752256962</v>
      </c>
      <c r="D36" s="2">
        <v>1.559974592475146E-3</v>
      </c>
      <c r="E36" s="2">
        <v>4.5992021221861459E-3</v>
      </c>
    </row>
    <row r="37" spans="1:5">
      <c r="A37">
        <v>35</v>
      </c>
      <c r="B37" s="2">
        <v>4.1365110608130355E-2</v>
      </c>
      <c r="C37" s="2">
        <v>0.28088751310761578</v>
      </c>
      <c r="D37" s="2">
        <v>1.5545763869999167E-3</v>
      </c>
      <c r="E37" s="2">
        <v>4.5874392605073687E-3</v>
      </c>
    </row>
    <row r="38" spans="1:5">
      <c r="A38">
        <v>36</v>
      </c>
      <c r="B38" s="2">
        <v>4.2916928153537308E-2</v>
      </c>
      <c r="C38" s="2">
        <v>0.28546906544008621</v>
      </c>
      <c r="D38" s="2">
        <v>1.5490134423230824E-3</v>
      </c>
      <c r="E38" s="2">
        <v>4.575671907350456E-3</v>
      </c>
    </row>
    <row r="39" spans="1:5">
      <c r="A39">
        <v>37</v>
      </c>
      <c r="B39" s="2">
        <v>4.4463119231954021E-2</v>
      </c>
      <c r="C39" s="2">
        <v>0.29003886375822496</v>
      </c>
      <c r="D39" s="2">
        <v>1.5433401035727229E-3</v>
      </c>
      <c r="E39" s="2">
        <v>4.5639448131902134E-3</v>
      </c>
    </row>
    <row r="40" spans="1:5">
      <c r="A40">
        <v>38</v>
      </c>
      <c r="B40" s="2">
        <v>4.6003597753270523E-2</v>
      </c>
      <c r="C40" s="2">
        <v>0.29459696808007391</v>
      </c>
      <c r="D40" s="2">
        <v>1.5376024014073476E-3</v>
      </c>
      <c r="E40" s="2">
        <v>4.5522951450409459E-3</v>
      </c>
    </row>
    <row r="41" spans="1:5">
      <c r="A41">
        <v>39</v>
      </c>
      <c r="B41" s="2">
        <v>4.7538319881523149E-2</v>
      </c>
      <c r="C41" s="2">
        <v>0.29914347214602249</v>
      </c>
      <c r="D41" s="2">
        <v>1.5318391569275923E-3</v>
      </c>
      <c r="E41" s="2">
        <v>4.5407534963132585E-3</v>
      </c>
    </row>
    <row r="42" spans="1:5">
      <c r="A42">
        <v>40</v>
      </c>
      <c r="B42" s="2">
        <v>4.9067277329098331E-2</v>
      </c>
      <c r="C42" s="2">
        <v>0.3036784973089483</v>
      </c>
      <c r="D42" s="2">
        <v>1.5260829452361157E-3</v>
      </c>
      <c r="E42" s="2">
        <v>4.529344776083361E-3</v>
      </c>
    </row>
    <row r="43" spans="1:5">
      <c r="A43">
        <v>41</v>
      </c>
      <c r="B43" s="2">
        <v>5.0590491550004328E-2</v>
      </c>
      <c r="C43" s="2">
        <v>0.30820218725728482</v>
      </c>
      <c r="D43" s="2">
        <v>1.5203609355973577E-3</v>
      </c>
      <c r="E43" s="2">
        <v>4.5180889896178763E-3</v>
      </c>
    </row>
    <row r="44" spans="1:5">
      <c r="A44">
        <v>42</v>
      </c>
      <c r="B44" s="2">
        <v>5.2108008716997833E-2</v>
      </c>
      <c r="C44" s="2">
        <v>0.31271470346815511</v>
      </c>
      <c r="D44" s="2">
        <v>1.5146956238468218E-3</v>
      </c>
      <c r="E44" s="2">
        <v>4.5070019217396664E-3</v>
      </c>
    </row>
    <row r="45" spans="1:5">
      <c r="A45">
        <v>43</v>
      </c>
      <c r="B45" s="2">
        <v>5.3619895381945011E-2</v>
      </c>
      <c r="C45" s="2">
        <v>0.31721622129899191</v>
      </c>
      <c r="D45" s="2">
        <v>1.5091054707033682E-3</v>
      </c>
      <c r="E45" s="2">
        <v>4.496095733949817E-3</v>
      </c>
    </row>
    <row r="46" spans="1:5">
      <c r="A46">
        <v>44</v>
      </c>
      <c r="B46" s="2">
        <v>5.5126234731556159E-2</v>
      </c>
      <c r="C46" s="2">
        <v>0.32170692663658879</v>
      </c>
      <c r="D46" s="2">
        <v>1.5036054579031957E-3</v>
      </c>
      <c r="E46" s="2">
        <v>4.4853794853503201E-3</v>
      </c>
    </row>
    <row r="47" spans="1:5">
      <c r="A47">
        <v>45</v>
      </c>
      <c r="B47" s="2">
        <v>5.6627123361747272E-2</v>
      </c>
      <c r="C47" s="2">
        <v>0.32618701303208419</v>
      </c>
      <c r="D47" s="2">
        <v>1.4982075725639831E-3</v>
      </c>
      <c r="E47" s="2">
        <v>4.4748595864689848E-3</v>
      </c>
    </row>
    <row r="48" spans="1:5">
      <c r="A48">
        <v>46</v>
      </c>
      <c r="B48" s="2">
        <v>5.8122668503611231E-2</v>
      </c>
      <c r="C48" s="2">
        <v>0.33065667925901959</v>
      </c>
      <c r="D48" s="2">
        <v>1.4929212288714092E-3</v>
      </c>
      <c r="E48" s="2">
        <v>4.4645401941474823E-3</v>
      </c>
    </row>
    <row r="49" spans="1:5">
      <c r="A49">
        <v>47</v>
      </c>
      <c r="B49" s="2">
        <v>5.9612985642479667E-2</v>
      </c>
      <c r="C49" s="2">
        <v>0.335116127239314</v>
      </c>
      <c r="D49" s="2">
        <v>1.4877536350320305E-3</v>
      </c>
      <c r="E49" s="2">
        <v>4.4544235547568688E-3</v>
      </c>
    </row>
    <row r="50" spans="1:5">
      <c r="A50">
        <v>48</v>
      </c>
      <c r="B50" s="2">
        <v>6.1098196478952128E-2</v>
      </c>
      <c r="C50" s="2">
        <v>0.33956556028881979</v>
      </c>
      <c r="D50" s="2">
        <v>1.4827101124341806E-3</v>
      </c>
      <c r="E50" s="2">
        <v>4.444510302173502E-3</v>
      </c>
    </row>
    <row r="51" spans="1:5">
      <c r="A51">
        <v>49</v>
      </c>
      <c r="B51" s="2">
        <v>6.2578427187286373E-2</v>
      </c>
      <c r="C51" s="2">
        <v>0.34400518164019311</v>
      </c>
      <c r="D51" s="2">
        <v>1.4777943730831828E-3</v>
      </c>
      <c r="E51" s="2">
        <v>4.434799716191087E-3</v>
      </c>
    </row>
    <row r="52" spans="1:5">
      <c r="A52">
        <v>50</v>
      </c>
      <c r="B52" s="2">
        <v>6.4053806932184806E-2</v>
      </c>
      <c r="C52" s="2">
        <v>0.34843519320610772</v>
      </c>
      <c r="D52" s="2">
        <v>1.4730087606124422E-3</v>
      </c>
      <c r="E52" s="2">
        <v>4.4252899463632393E-3</v>
      </c>
    </row>
    <row r="53" spans="1:5">
      <c r="A53">
        <v>51</v>
      </c>
      <c r="B53" s="2">
        <v>6.5524466609975074E-2</v>
      </c>
      <c r="C53" s="2">
        <v>0.3528557945505395</v>
      </c>
      <c r="D53" s="2">
        <v>1.4683544595036977E-3</v>
      </c>
      <c r="E53" s="2">
        <v>4.4159782056627022E-3</v>
      </c>
    </row>
    <row r="54" spans="1:5">
      <c r="A54">
        <v>52</v>
      </c>
      <c r="B54" s="2">
        <v>6.6990537784510376E-2</v>
      </c>
      <c r="C54" s="2">
        <v>0.35726718203993979</v>
      </c>
      <c r="D54" s="2">
        <v>1.4638316765656734E-3</v>
      </c>
      <c r="E54" s="2">
        <v>4.4068609378038696E-3</v>
      </c>
    </row>
    <row r="55" spans="1:5">
      <c r="A55">
        <v>53</v>
      </c>
      <c r="B55" s="2">
        <v>6.8452151791896662E-2</v>
      </c>
      <c r="C55" s="2">
        <v>0.36166954814972363</v>
      </c>
      <c r="D55" s="2">
        <v>1.4594397982098152E-3</v>
      </c>
      <c r="E55" s="2">
        <v>4.3979339615982643E-3</v>
      </c>
    </row>
    <row r="56" spans="1:5">
      <c r="A56">
        <v>54</v>
      </c>
      <c r="B56" s="2">
        <v>6.9909438991459544E-2</v>
      </c>
      <c r="C56" s="2">
        <v>0.36606308090464357</v>
      </c>
      <c r="D56" s="2">
        <v>1.4551775266155227E-3</v>
      </c>
      <c r="E56" s="2">
        <v>4.389192595292659E-3</v>
      </c>
    </row>
    <row r="57" spans="1:5">
      <c r="A57">
        <v>55</v>
      </c>
      <c r="B57" s="2">
        <v>7.1362528143251447E-2</v>
      </c>
      <c r="C57" s="2">
        <v>0.37044796343438918</v>
      </c>
      <c r="D57" s="2">
        <v>1.4510429974871147E-3</v>
      </c>
      <c r="E57" s="2">
        <v>4.3806317634699846E-3</v>
      </c>
    </row>
    <row r="58" spans="1:5">
      <c r="A58">
        <v>56</v>
      </c>
      <c r="B58" s="2">
        <v>7.2811545894923266E-2</v>
      </c>
      <c r="C58" s="2">
        <v>0.3748243736281332</v>
      </c>
      <c r="D58" s="2">
        <v>1.4470338817636774E-3</v>
      </c>
      <c r="E58" s="2">
        <v>4.3722460887690561E-3</v>
      </c>
    </row>
    <row r="59" spans="1:5">
      <c r="A59">
        <v>57</v>
      </c>
      <c r="B59" s="2">
        <v>7.425661636299552E-2</v>
      </c>
      <c r="C59" s="2">
        <v>0.37919248387389753</v>
      </c>
      <c r="D59" s="2">
        <v>1.4431474733447303E-3</v>
      </c>
      <c r="E59" s="2">
        <v>4.3640299703947595E-3</v>
      </c>
    </row>
    <row r="60" spans="1:5">
      <c r="A60">
        <v>58</v>
      </c>
      <c r="B60" s="2">
        <v>7.5697860795484267E-2</v>
      </c>
      <c r="C60" s="2">
        <v>0.38355246087041095</v>
      </c>
      <c r="D60" s="2">
        <v>1.4393807646339392E-3</v>
      </c>
      <c r="E60" s="2">
        <v>4.3559776511413219E-3</v>
      </c>
    </row>
    <row r="61" spans="1:5">
      <c r="A61">
        <v>59</v>
      </c>
      <c r="B61" s="2">
        <v>7.7135397304517184E-2</v>
      </c>
      <c r="C61" s="2">
        <v>0.38790446550076946</v>
      </c>
      <c r="D61" s="2">
        <v>1.4357305114751735E-3</v>
      </c>
      <c r="E61" s="2">
        <v>4.3480832744331619E-3</v>
      </c>
    </row>
    <row r="62" spans="1:5">
      <c r="A62">
        <v>60</v>
      </c>
      <c r="B62" s="2">
        <v>7.8569340659060904E-2</v>
      </c>
      <c r="C62" s="2">
        <v>0.39224865275859233</v>
      </c>
      <c r="D62" s="2">
        <v>1.432193288855947E-3</v>
      </c>
      <c r="E62" s="2">
        <v>4.3403409326970375E-3</v>
      </c>
    </row>
    <row r="63" spans="1:5">
      <c r="A63">
        <v>61</v>
      </c>
      <c r="B63" s="2">
        <v>7.9999802129146327E-2</v>
      </c>
      <c r="C63" s="2">
        <v>0.39658517171862107</v>
      </c>
      <c r="D63" s="2">
        <v>1.4287655385790726E-3</v>
      </c>
      <c r="E63" s="2">
        <v>4.3327447082121759E-3</v>
      </c>
    </row>
    <row r="64" spans="1:5">
      <c r="A64">
        <v>62</v>
      </c>
      <c r="B64" s="2">
        <v>8.1426889374112424E-2</v>
      </c>
      <c r="C64" s="2">
        <v>0.40091416554474213</v>
      </c>
      <c r="D64" s="2">
        <v>1.4254436099510957E-3</v>
      </c>
      <c r="E64" s="2">
        <v>4.3252887074391577E-3</v>
      </c>
    </row>
    <row r="65" spans="1:5">
      <c r="A65">
        <v>63</v>
      </c>
      <c r="B65" s="2">
        <v>8.2850706368359603E-2</v>
      </c>
      <c r="C65" s="2">
        <v>0.40523577152938295</v>
      </c>
      <c r="D65" s="2">
        <v>1.4222237944029365E-3</v>
      </c>
      <c r="E65" s="2">
        <v>4.3179670897005888E-3</v>
      </c>
    </row>
    <row r="66" spans="1:5">
      <c r="A66">
        <v>64</v>
      </c>
      <c r="B66" s="2">
        <v>8.4271353358968765E-2</v>
      </c>
      <c r="C66" s="2">
        <v>0.4095501211590325</v>
      </c>
      <c r="D66" s="2">
        <v>1.419102354841823E-3</v>
      </c>
      <c r="E66" s="2">
        <v>4.3107740909750442E-3</v>
      </c>
    </row>
    <row r="67" spans="1:5">
      <c r="A67">
        <v>65</v>
      </c>
      <c r="B67" s="2">
        <v>8.568892685027546E-2</v>
      </c>
      <c r="C67" s="2">
        <v>0.41385734020132642</v>
      </c>
      <c r="D67" s="2">
        <v>1.4160755504318866E-3</v>
      </c>
      <c r="E67" s="2">
        <v>4.3037040434681728E-3</v>
      </c>
    </row>
    <row r="68" spans="1:5">
      <c r="A68">
        <v>66</v>
      </c>
      <c r="B68" s="2">
        <v>8.7103519611149399E-2</v>
      </c>
      <c r="C68" s="2">
        <v>0.41815754880980877</v>
      </c>
      <c r="D68" s="2">
        <v>1.4131396574118991E-3</v>
      </c>
      <c r="E68" s="2">
        <v>4.2967513915396745E-3</v>
      </c>
    </row>
    <row r="69" spans="1:5">
      <c r="A69">
        <v>67</v>
      </c>
      <c r="B69" s="2">
        <v>8.8515220701293432E-2</v>
      </c>
      <c r="C69" s="2">
        <v>0.42245086164296225</v>
      </c>
      <c r="D69" s="2">
        <v>1.4102909864809391E-3</v>
      </c>
      <c r="E69" s="2">
        <v>4.2899107044903169E-3</v>
      </c>
    </row>
    <row r="70" spans="1:5">
      <c r="A70">
        <v>68</v>
      </c>
      <c r="B70" s="2">
        <v>8.9924115513371067E-2</v>
      </c>
      <c r="C70" s="2">
        <v>0.42673738799460448</v>
      </c>
      <c r="D70" s="2">
        <v>1.4075258972148931E-3</v>
      </c>
      <c r="E70" s="2">
        <v>4.2831766866481174E-3</v>
      </c>
    </row>
    <row r="71" spans="1:5">
      <c r="A71">
        <v>69</v>
      </c>
      <c r="B71" s="2">
        <v>9.1330285828207042E-2</v>
      </c>
      <c r="C71" s="2">
        <v>0.43101723193316499</v>
      </c>
      <c r="D71" s="2">
        <v>1.4048408099173516E-3</v>
      </c>
      <c r="E71" s="2">
        <v>4.2765441851359493E-3</v>
      </c>
    </row>
    <row r="72" spans="1:5">
      <c r="A72">
        <v>70</v>
      </c>
      <c r="B72" s="2">
        <v>9.2733809880672813E-2</v>
      </c>
      <c r="C72" s="2">
        <v>0.43529049244766649</v>
      </c>
      <c r="D72" s="2">
        <v>1.4022322152566461E-3</v>
      </c>
      <c r="E72" s="2">
        <v>4.2700081956532172E-3</v>
      </c>
    </row>
    <row r="73" spans="1:5">
      <c r="A73">
        <v>71</v>
      </c>
      <c r="B73" s="2">
        <v>9.413476243421344E-2</v>
      </c>
      <c r="C73" s="2">
        <v>0.43955726359861091</v>
      </c>
      <c r="D73" s="2">
        <v>1.3996966819954655E-3</v>
      </c>
      <c r="E73" s="2">
        <v>4.2635638665608324E-3</v>
      </c>
    </row>
    <row r="74" spans="1:5">
      <c r="A74">
        <v>72</v>
      </c>
      <c r="B74" s="2">
        <v>9.5533214862237356E-2</v>
      </c>
      <c r="C74" s="2">
        <v>0.44381763467218172</v>
      </c>
      <c r="D74" s="2">
        <v>1.3972308630799436E-3</v>
      </c>
      <c r="E74" s="2">
        <v>4.2572065015209319E-3</v>
      </c>
    </row>
    <row r="75" spans="1:5">
      <c r="A75">
        <v>73</v>
      </c>
      <c r="B75" s="2">
        <v>9.692923523485765E-2</v>
      </c>
      <c r="C75" s="2">
        <v>0.44807169033643657</v>
      </c>
      <c r="D75" s="2">
        <v>1.3948315003205383E-3</v>
      </c>
      <c r="E75" s="2">
        <v>4.250931560909668E-3</v>
      </c>
    </row>
    <row r="76" spans="1:5">
      <c r="A76">
        <v>74</v>
      </c>
      <c r="B76" s="2">
        <v>9.8322888409680606E-2</v>
      </c>
      <c r="C76" s="2">
        <v>0.45231951079837157</v>
      </c>
      <c r="D76" s="2">
        <v>1.3924954278668532E-3</v>
      </c>
      <c r="E76" s="2">
        <v>4.2447346621926089E-3</v>
      </c>
    </row>
    <row r="77" spans="1:5">
      <c r="A77">
        <v>75</v>
      </c>
      <c r="B77" s="2">
        <v>9.9714236125523464E-2</v>
      </c>
      <c r="C77" s="2">
        <v>0.45656117196088908</v>
      </c>
      <c r="D77" s="2">
        <v>1.3902195746521935E-3</v>
      </c>
      <c r="E77" s="2">
        <v>4.2386115794270729E-3</v>
      </c>
    </row>
    <row r="78" spans="1:5">
      <c r="A78">
        <v>76</v>
      </c>
      <c r="B78" s="2">
        <v>0.10110333709811746</v>
      </c>
      <c r="C78" s="2">
        <v>0.46079674557889333</v>
      </c>
      <c r="D78" s="2">
        <v>1.3880009659606315E-3</v>
      </c>
      <c r="E78" s="2">
        <v>4.2325582420338053E-3</v>
      </c>
    </row>
    <row r="79" spans="1:5">
      <c r="A79">
        <v>77</v>
      </c>
      <c r="B79" s="2">
        <v>0.10249024711698387</v>
      </c>
      <c r="C79" s="2">
        <v>0.46502629941382173</v>
      </c>
      <c r="D79" s="2">
        <v>1.3858367242492839E-3</v>
      </c>
      <c r="E79" s="2">
        <v>4.2265707329612132E-3</v>
      </c>
    </row>
    <row r="80" spans="1:5">
      <c r="A80">
        <v>78</v>
      </c>
      <c r="B80" s="2">
        <v>0.1038750191427984</v>
      </c>
      <c r="C80" s="2">
        <v>0.46924989738608341</v>
      </c>
      <c r="D80" s="2">
        <v>1.3837240693409568E-3</v>
      </c>
      <c r="E80" s="2">
        <v>4.2206452863487081E-3</v>
      </c>
    </row>
    <row r="81" spans="1:5">
      <c r="A81">
        <v>79</v>
      </c>
      <c r="B81" s="2">
        <v>0.10525770340466961</v>
      </c>
      <c r="C81" s="2">
        <v>0.47346759972493641</v>
      </c>
      <c r="D81" s="2">
        <v>1.3816603180870205E-3</v>
      </c>
      <c r="E81" s="2">
        <v>4.2147782847811151E-3</v>
      </c>
    </row>
    <row r="82" spans="1:5">
      <c r="A82">
        <v>80</v>
      </c>
      <c r="B82" s="2">
        <v>0.10663834749684524</v>
      </c>
      <c r="C82" s="2">
        <v>0.47767946311544368</v>
      </c>
      <c r="D82" s="2">
        <v>1.3796428835870401E-3</v>
      </c>
      <c r="E82" s="2">
        <v>4.2089662562134625E-3</v>
      </c>
    </row>
    <row r="83" spans="1:5">
      <c r="A83">
        <v>81</v>
      </c>
      <c r="B83" s="2">
        <v>0.10801699647444096</v>
      </c>
      <c r="C83" s="2">
        <v>0.48188554084221841</v>
      </c>
      <c r="D83" s="2">
        <v>1.3776692740400263E-3</v>
      </c>
      <c r="E83" s="2">
        <v>4.2032058706343864E-3</v>
      </c>
    </row>
    <row r="84" spans="1:5">
      <c r="A84">
        <v>82</v>
      </c>
      <c r="B84" s="2">
        <v>0.10939369294785875</v>
      </c>
      <c r="C84" s="2">
        <v>0.48608588292970978</v>
      </c>
      <c r="D84" s="2">
        <v>1.3757370912920478E-3</v>
      </c>
      <c r="E84" s="2">
        <v>4.1974939365267763E-3</v>
      </c>
    </row>
    <row r="85" spans="1:5">
      <c r="A85">
        <v>83</v>
      </c>
      <c r="B85" s="2">
        <v>0.11076847717562222</v>
      </c>
      <c r="C85" s="2">
        <v>0.49028053627888074</v>
      </c>
      <c r="D85" s="2">
        <v>1.373844029136073E-3</v>
      </c>
      <c r="E85" s="2">
        <v>4.191827397175921E-3</v>
      </c>
    </row>
    <row r="86" spans="1:5">
      <c r="A86">
        <v>84</v>
      </c>
      <c r="B86" s="2">
        <v>0.11214138715540245</v>
      </c>
      <c r="C86" s="2">
        <v>0.49446954480011601</v>
      </c>
      <c r="D86" s="2">
        <v>1.3719878714122183E-3</v>
      </c>
      <c r="E86" s="2">
        <v>4.1862033268681128E-3</v>
      </c>
    </row>
    <row r="87" spans="1:5">
      <c r="A87">
        <v>85</v>
      </c>
      <c r="B87" s="2">
        <v>0.11351245871305975</v>
      </c>
      <c r="C87" s="2">
        <v>0.49865294954230499</v>
      </c>
      <c r="D87" s="2">
        <v>1.3701664899498677E-3</v>
      </c>
      <c r="E87" s="2">
        <v>4.1806189270163817E-3</v>
      </c>
    </row>
    <row r="88" spans="1:5">
      <c r="A88">
        <v>86</v>
      </c>
      <c r="B88" s="2">
        <v>0.11488172558955971</v>
      </c>
      <c r="C88" s="2">
        <v>0.50283078881800636</v>
      </c>
      <c r="D88" s="2">
        <v>1.3683778423872542E-3</v>
      </c>
      <c r="E88" s="2">
        <v>4.1750715222444654E-3</v>
      </c>
    </row>
    <row r="89" spans="1:5">
      <c r="A89">
        <v>87</v>
      </c>
      <c r="B89" s="2">
        <v>0.11624921952565974</v>
      </c>
      <c r="C89" s="2">
        <v>0.50700309832470103</v>
      </c>
      <c r="D89" s="2">
        <v>1.3666199698990501E-3</v>
      </c>
      <c r="E89" s="2">
        <v>4.1695585564554133E-3</v>
      </c>
    </row>
    <row r="90" spans="1:5">
      <c r="A90">
        <v>88</v>
      </c>
      <c r="B90" s="2">
        <v>0.11761497034428497</v>
      </c>
      <c r="C90" s="2">
        <v>0.51116991126209887</v>
      </c>
      <c r="D90" s="2">
        <v>1.3648909948580455E-3</v>
      </c>
      <c r="E90" s="2">
        <v>4.1640775889070477E-3</v>
      </c>
    </row>
    <row r="91" spans="1:5">
      <c r="A91">
        <v>89</v>
      </c>
      <c r="B91" s="2">
        <v>0.11897900603054146</v>
      </c>
      <c r="C91" s="2">
        <v>0.51533125844554672</v>
      </c>
      <c r="D91" s="2">
        <v>1.3631891184531775E-3</v>
      </c>
      <c r="E91" s="2">
        <v>4.1586262903128999E-3</v>
      </c>
    </row>
    <row r="92" spans="1:5">
      <c r="A92">
        <v>90</v>
      </c>
      <c r="B92" s="2">
        <v>0.12034135280933045</v>
      </c>
      <c r="C92" s="2">
        <v>0.51948716841553866</v>
      </c>
      <c r="D92" s="2">
        <v>1.3615126182828141E-3</v>
      </c>
      <c r="E92" s="2">
        <v>4.153202438984171E-3</v>
      </c>
    </row>
    <row r="93" spans="1:5">
      <c r="A93">
        <v>91</v>
      </c>
      <c r="B93" s="2">
        <v>0.12170203522055163</v>
      </c>
      <c r="C93" s="2">
        <v>0.52363766754340857</v>
      </c>
      <c r="D93" s="2">
        <v>1.3598598459393016E-3</v>
      </c>
      <c r="E93" s="2">
        <v>4.1478039170255773E-3</v>
      </c>
    </row>
    <row r="94" spans="1:5">
      <c r="A94">
        <v>92</v>
      </c>
      <c r="B94" s="2">
        <v>0.12306107619188929</v>
      </c>
      <c r="C94" s="2">
        <v>0.52778278013323754</v>
      </c>
      <c r="D94" s="2">
        <v>1.3582292245982728E-3</v>
      </c>
      <c r="E94" s="2">
        <v>4.1424287065955478E-3</v>
      </c>
    </row>
    <row r="95" spans="1:5">
      <c r="A95">
        <v>93</v>
      </c>
      <c r="B95" s="2">
        <v>0.12441849710919542</v>
      </c>
      <c r="C95" s="2">
        <v>0.53192252852006505</v>
      </c>
      <c r="D95" s="2">
        <v>1.3566192466240154E-3</v>
      </c>
      <c r="E95" s="2">
        <v>4.1370748862393659E-3</v>
      </c>
    </row>
    <row r="96" spans="1:5">
      <c r="A96">
        <v>94</v>
      </c>
      <c r="B96" s="2">
        <v>0.12577431788448759</v>
      </c>
      <c r="C96" s="2">
        <v>0.53605693316446423</v>
      </c>
      <c r="D96" s="2">
        <v>1.3550284712003371E-3</v>
      </c>
      <c r="E96" s="2">
        <v>4.1317406273019752E-3</v>
      </c>
    </row>
    <row r="97" spans="1:5">
      <c r="A97">
        <v>95</v>
      </c>
      <c r="B97" s="2">
        <v>0.12712855702159603</v>
      </c>
      <c r="C97" s="2">
        <v>0.54018601274357947</v>
      </c>
      <c r="D97" s="2">
        <v>1.3534555219947056E-3</v>
      </c>
      <c r="E97" s="2">
        <v>4.1264241904258349E-3</v>
      </c>
    </row>
    <row r="98" spans="1:5">
      <c r="A98">
        <v>96</v>
      </c>
      <c r="B98" s="2">
        <v>0.12848123167949019</v>
      </c>
      <c r="C98" s="2">
        <v>0.54430978423870335</v>
      </c>
      <c r="D98" s="2">
        <v>1.3518990848620514E-3</v>
      </c>
      <c r="E98" s="2">
        <v>4.1211239221377993E-3</v>
      </c>
    </row>
    <row r="99" spans="1:5">
      <c r="A99">
        <v>97</v>
      </c>
      <c r="B99" s="2">
        <v>0.12983235773333504</v>
      </c>
      <c r="C99" s="2">
        <v>0.54842826301947933</v>
      </c>
      <c r="D99" s="2">
        <v>1.3503579055933876E-3</v>
      </c>
      <c r="E99" s="2">
        <v>4.115838251528032E-3</v>
      </c>
    </row>
    <row r="100" spans="1:5">
      <c r="A100">
        <v>98</v>
      </c>
      <c r="B100" s="2">
        <v>0.13118194983331519</v>
      </c>
      <c r="C100" s="2">
        <v>0.55254146292484008</v>
      </c>
      <c r="D100" s="2">
        <v>1.3488307877133731E-3</v>
      </c>
      <c r="E100" s="2">
        <v>4.1105656870229291E-3</v>
      </c>
    </row>
    <row r="101" spans="1:5">
      <c r="A101">
        <v>99</v>
      </c>
      <c r="B101" s="2">
        <v>0.1325300214612862</v>
      </c>
      <c r="C101" s="2">
        <v>0.55664939634076149</v>
      </c>
      <c r="D101" s="2">
        <v>1.3473165903300215E-3</v>
      </c>
      <c r="E101" s="2">
        <v>4.1053048132533264E-3</v>
      </c>
    </row>
    <row r="102" spans="1:5">
      <c r="A102">
        <v>100</v>
      </c>
      <c r="B102" s="2">
        <v>0.1338765849852997</v>
      </c>
      <c r="C102" s="2">
        <v>0.56075207427493146</v>
      </c>
      <c r="D102" s="2">
        <v>1.3458142260390081E-3</v>
      </c>
      <c r="E102" s="2">
        <v>4.1000542880185228E-3</v>
      </c>
    </row>
    <row r="103" spans="1:5">
      <c r="A103">
        <v>101</v>
      </c>
      <c r="B103" s="2">
        <v>0.13522165171206241</v>
      </c>
      <c r="C103" s="2">
        <v>0.56484950642843523</v>
      </c>
      <c r="D103" s="2">
        <v>1.3443226588843475E-3</v>
      </c>
      <c r="E103" s="2">
        <v>4.0948128393461279E-3</v>
      </c>
    </row>
    <row r="104" spans="1:5">
      <c r="A104">
        <v>102</v>
      </c>
      <c r="B104" s="2">
        <v>0.13656523193738399</v>
      </c>
      <c r="C104" s="2">
        <v>0.56894170126454169</v>
      </c>
      <c r="D104" s="2">
        <v>1.3428409023766691E-3</v>
      </c>
      <c r="E104" s="2">
        <v>4.0895792626472662E-3</v>
      </c>
    </row>
    <row r="105" spans="1:5">
      <c r="A105">
        <v>103</v>
      </c>
      <c r="B105" s="2">
        <v>0.13790733499467142</v>
      </c>
      <c r="C105" s="2">
        <v>0.57302866607469916</v>
      </c>
      <c r="D105" s="2">
        <v>1.341368017569817E-3</v>
      </c>
      <c r="E105" s="2">
        <v>4.0843524179662357E-3</v>
      </c>
    </row>
    <row r="106" spans="1:5">
      <c r="A106">
        <v>104</v>
      </c>
      <c r="B106" s="2">
        <v>0.13924796930153097</v>
      </c>
      <c r="C106" s="2">
        <v>0.57711040704182337</v>
      </c>
      <c r="D106" s="2">
        <v>1.3399031111961093E-3</v>
      </c>
      <c r="E106" s="2">
        <v>4.0791312273234497E-3</v>
      </c>
    </row>
    <row r="107" spans="1:5">
      <c r="A107">
        <v>105</v>
      </c>
      <c r="B107" s="2">
        <v>0.14058714240453424</v>
      </c>
      <c r="C107" s="2">
        <v>0.58118692930097449</v>
      </c>
      <c r="D107" s="2">
        <v>1.3384453338602452E-3</v>
      </c>
      <c r="E107" s="2">
        <v>4.0739146721501546E-3</v>
      </c>
    </row>
    <row r="108" spans="1:5">
      <c r="A108">
        <v>106</v>
      </c>
      <c r="B108" s="2">
        <v>0.14192486102220561</v>
      </c>
      <c r="C108" s="2">
        <v>0.58525823699752022</v>
      </c>
      <c r="D108" s="2">
        <v>1.33699387829155E-3</v>
      </c>
      <c r="E108" s="2">
        <v>4.0687017908132353E-3</v>
      </c>
    </row>
    <row r="109" spans="1:5">
      <c r="A109">
        <v>107</v>
      </c>
      <c r="B109" s="2">
        <v>0.14326113108629263</v>
      </c>
      <c r="C109" s="2">
        <v>0.58932433334285494</v>
      </c>
      <c r="D109" s="2">
        <v>1.3355479776540281E-3</v>
      </c>
      <c r="E109" s="2">
        <v>4.0634916762282694E-3</v>
      </c>
    </row>
    <row r="110" spans="1:5">
      <c r="A110">
        <v>108</v>
      </c>
      <c r="B110" s="2">
        <v>0.14459595778137579</v>
      </c>
      <c r="C110" s="2">
        <v>0.59338522066779442</v>
      </c>
      <c r="D110" s="2">
        <v>1.3341069039134606E-3</v>
      </c>
      <c r="E110" s="2">
        <v>4.0582834735587601E-3</v>
      </c>
    </row>
    <row r="111" spans="1:5">
      <c r="A111">
        <v>109</v>
      </c>
      <c r="B111" s="2">
        <v>0.14592934558287213</v>
      </c>
      <c r="C111" s="2">
        <v>0.5974409004736918</v>
      </c>
      <c r="D111" s="2">
        <v>1.3326699662606638E-3</v>
      </c>
      <c r="E111" s="2">
        <v>4.0530763779994686E-3</v>
      </c>
    </row>
    <row r="112" spans="1:5">
      <c r="A112">
        <v>110</v>
      </c>
      <c r="B112" s="2">
        <v>0.14726129829349</v>
      </c>
      <c r="C112" s="2">
        <v>0.60149137348139525</v>
      </c>
      <c r="D112" s="2">
        <v>1.3312365095898505E-3</v>
      </c>
      <c r="E112" s="2">
        <v>4.0478696326416508E-3</v>
      </c>
    </row>
    <row r="113" spans="1:5">
      <c r="A113">
        <v>111</v>
      </c>
      <c r="B113" s="2">
        <v>0.14859181907818991</v>
      </c>
      <c r="C113" s="2">
        <v>0.60553663967809945</v>
      </c>
      <c r="D113" s="2">
        <v>1.3298059130309504E-3</v>
      </c>
      <c r="E113" s="2">
        <v>4.0426625264179126E-3</v>
      </c>
    </row>
    <row r="114" spans="1:5">
      <c r="A114">
        <v>112</v>
      </c>
      <c r="B114" s="2">
        <v>0.14992091049770467</v>
      </c>
      <c r="C114" s="2">
        <v>0.60957669836218642</v>
      </c>
      <c r="D114" s="2">
        <v>1.3283775885346647E-3</v>
      </c>
      <c r="E114" s="2">
        <v>4.0374543921244278E-3</v>
      </c>
    </row>
    <row r="115" spans="1:5">
      <c r="A115">
        <v>113</v>
      </c>
      <c r="B115" s="2">
        <v>0.1512485745406684</v>
      </c>
      <c r="C115" s="2">
        <v>0.61361154818612629</v>
      </c>
      <c r="D115" s="2">
        <v>1.3269509795089483E-3</v>
      </c>
      <c r="E115" s="2">
        <v>4.0322446045181924E-3</v>
      </c>
    </row>
    <row r="116" spans="1:5">
      <c r="A116">
        <v>114</v>
      </c>
      <c r="B116" s="2">
        <v>0.1525748126544115</v>
      </c>
      <c r="C116" s="2">
        <v>0.61764118719751215</v>
      </c>
      <c r="D116" s="2">
        <v>1.3255255595055802E-3</v>
      </c>
      <c r="E116" s="2">
        <v>4.0270325784869916E-3</v>
      </c>
    </row>
    <row r="117" spans="1:5">
      <c r="A117">
        <v>115</v>
      </c>
      <c r="B117" s="2">
        <v>0.15389962577446084</v>
      </c>
      <c r="C117" s="2">
        <v>0.62166561287829447</v>
      </c>
      <c r="D117" s="2">
        <v>1.3241008309554448E-3</v>
      </c>
      <c r="E117" s="2">
        <v>4.0218177672898207E-3</v>
      </c>
    </row>
    <row r="118" spans="1:5">
      <c r="A118">
        <v>116</v>
      </c>
      <c r="B118" s="2">
        <v>0.15522301435280514</v>
      </c>
      <c r="C118" s="2">
        <v>0.62568482218230226</v>
      </c>
      <c r="D118" s="2">
        <v>1.3226763239511208E-3</v>
      </c>
      <c r="E118" s="2">
        <v>4.0165996608654032E-3</v>
      </c>
    </row>
    <row r="119" spans="1:5">
      <c r="A119">
        <v>117</v>
      </c>
      <c r="B119" s="2">
        <v>0.15654497838496167</v>
      </c>
      <c r="C119" s="2">
        <v>0.62969881157109364</v>
      </c>
      <c r="D119" s="2">
        <v>1.3212515950753677E-3</v>
      </c>
      <c r="E119" s="2">
        <v>4.0113777842066042E-3</v>
      </c>
    </row>
    <row r="120" spans="1:5">
      <c r="A120">
        <v>118</v>
      </c>
      <c r="B120" s="2">
        <v>0.1578655174358968</v>
      </c>
      <c r="C120" s="2">
        <v>0.63370757704822367</v>
      </c>
      <c r="D120" s="2">
        <v>1.3198262262740994E-3</v>
      </c>
      <c r="E120" s="2">
        <v>4.0061516957984895E-3</v>
      </c>
    </row>
    <row r="121" spans="1:5">
      <c r="A121">
        <v>119</v>
      </c>
      <c r="B121" s="2">
        <v>0.15918463066483898</v>
      </c>
      <c r="C121" s="2">
        <v>0.63771111419196891</v>
      </c>
      <c r="D121" s="2">
        <v>1.3183998237724314E-3</v>
      </c>
      <c r="E121" s="2">
        <v>4.0009209861178287E-3</v>
      </c>
    </row>
    <row r="122" spans="1:5">
      <c r="A122">
        <v>120</v>
      </c>
      <c r="B122" s="2">
        <v>0.16050231684903118</v>
      </c>
      <c r="C122" s="2">
        <v>0.64170941818659744</v>
      </c>
      <c r="D122" s="2">
        <v>1.3169720170324098E-3</v>
      </c>
      <c r="E122" s="2">
        <v>3.9956852761919275E-3</v>
      </c>
    </row>
    <row r="123" spans="1:5">
      <c r="A123">
        <v>121</v>
      </c>
      <c r="B123" s="2">
        <v>0.16181857440645911</v>
      </c>
      <c r="C123" s="2">
        <v>0.64570248385221318</v>
      </c>
      <c r="D123" s="2">
        <v>1.3155424577510368E-3</v>
      </c>
      <c r="E123" s="2">
        <v>3.9904442162146617E-3</v>
      </c>
    </row>
    <row r="124" spans="1:5">
      <c r="A124">
        <v>122</v>
      </c>
      <c r="B124" s="2">
        <v>0.16313340141759849</v>
      </c>
      <c r="C124" s="2">
        <v>0.64969030567324704</v>
      </c>
      <c r="D124" s="2">
        <v>1.314110818897235E-3</v>
      </c>
      <c r="E124" s="2">
        <v>3.9851974842176809E-3</v>
      </c>
    </row>
    <row r="125" spans="1:5">
      <c r="A125">
        <v>123</v>
      </c>
      <c r="B125" s="2">
        <v>0.16444679564621956</v>
      </c>
      <c r="C125" s="2">
        <v>0.65367287782565386</v>
      </c>
      <c r="D125" s="2">
        <v>1.3126767937864142E-3</v>
      </c>
      <c r="E125" s="2">
        <v>3.9799447847947925E-3</v>
      </c>
    </row>
    <row r="126" spans="1:5">
      <c r="A126">
        <v>124</v>
      </c>
      <c r="B126" s="2">
        <v>0.16575875455928038</v>
      </c>
      <c r="C126" s="2">
        <v>0.65765019420285142</v>
      </c>
      <c r="D126" s="2">
        <v>1.3112400951913235E-3</v>
      </c>
      <c r="E126" s="2">
        <v>3.9746858478775619E-3</v>
      </c>
    </row>
    <row r="127" spans="1:5">
      <c r="A127">
        <v>125</v>
      </c>
      <c r="B127" s="2">
        <v>0.16706927534595428</v>
      </c>
      <c r="C127" s="2">
        <v>0.66162224844045814</v>
      </c>
      <c r="D127" s="2">
        <v>1.3098004544879211E-3</v>
      </c>
      <c r="E127" s="2">
        <v>3.9694204275602671E-3</v>
      </c>
    </row>
    <row r="128" spans="1:5">
      <c r="A128">
        <v>126</v>
      </c>
      <c r="B128" s="2">
        <v>0.16837835493581452</v>
      </c>
      <c r="C128" s="2">
        <v>0.66558903393989322</v>
      </c>
      <c r="D128" s="2">
        <v>1.308357620835001E-3</v>
      </c>
      <c r="E128" s="2">
        <v>3.964148300972351E-3</v>
      </c>
    </row>
    <row r="129" spans="1:5">
      <c r="A129">
        <v>127</v>
      </c>
      <c r="B129" s="2">
        <v>0.16968599001622103</v>
      </c>
      <c r="C129" s="2">
        <v>0.66955054389085567</v>
      </c>
      <c r="D129" s="2">
        <v>1.3069113603863581E-3</v>
      </c>
      <c r="E129" s="2">
        <v>3.9588692671966245E-3</v>
      </c>
    </row>
    <row r="130" spans="1:5">
      <c r="A130">
        <v>128</v>
      </c>
      <c r="B130" s="2">
        <v>0.17099217704892811</v>
      </c>
      <c r="C130" s="2">
        <v>0.67350677129275538</v>
      </c>
      <c r="D130" s="2">
        <v>1.3054614555343146E-3</v>
      </c>
      <c r="E130" s="2">
        <v>3.9535831462314732E-3</v>
      </c>
    </row>
    <row r="131" spans="1:5">
      <c r="A131">
        <v>129</v>
      </c>
      <c r="B131" s="2">
        <v>0.17229691228595939</v>
      </c>
      <c r="C131" s="2">
        <v>0.67745770897512381</v>
      </c>
      <c r="D131" s="2">
        <v>1.3040077041834453E-3</v>
      </c>
      <c r="E131" s="2">
        <v>3.9482897779954092E-3</v>
      </c>
    </row>
    <row r="132" spans="1:5">
      <c r="A132">
        <v>130</v>
      </c>
      <c r="B132" s="2">
        <v>0.17360019178476249</v>
      </c>
      <c r="C132" s="2">
        <v>0.68140334961704652</v>
      </c>
      <c r="D132" s="2">
        <v>1.3025499190533903E-3</v>
      </c>
      <c r="E132" s="2">
        <v>3.9429890213723649E-3</v>
      </c>
    </row>
    <row r="133" spans="1:5">
      <c r="A133">
        <v>131</v>
      </c>
      <c r="B133" s="2">
        <v>0.17490201142268846</v>
      </c>
      <c r="C133" s="2">
        <v>0.68534368576567273</v>
      </c>
      <c r="D133" s="2">
        <v>1.3010879270096668E-3</v>
      </c>
      <c r="E133" s="2">
        <v>3.9376807532961753E-3</v>
      </c>
    </row>
    <row r="134" spans="1:5">
      <c r="A134">
        <v>132</v>
      </c>
      <c r="B134" s="2">
        <v>0.17620236691080959</v>
      </c>
      <c r="C134" s="2">
        <v>0.68927870985380835</v>
      </c>
      <c r="D134" s="2">
        <v>1.2996215684214338E-3</v>
      </c>
      <c r="E134" s="2">
        <v>3.9323648678727145E-3</v>
      </c>
    </row>
    <row r="135" spans="1:5">
      <c r="A135">
        <v>133</v>
      </c>
      <c r="B135" s="2">
        <v>0.17750125380711149</v>
      </c>
      <c r="C135" s="2">
        <v>0.69320841421667279</v>
      </c>
      <c r="D135" s="2">
        <v>1.2981506965451845E-3</v>
      </c>
      <c r="E135" s="2">
        <v>3.9270412755382693E-3</v>
      </c>
    </row>
    <row r="136" spans="1:5">
      <c r="A136">
        <v>134</v>
      </c>
      <c r="B136" s="2">
        <v>0.17879866752908175</v>
      </c>
      <c r="C136" s="2">
        <v>0.69713279110781379</v>
      </c>
      <c r="D136" s="2">
        <v>1.296675176933393E-3</v>
      </c>
      <c r="E136" s="2">
        <v>3.9217099022527341E-3</v>
      </c>
    </row>
    <row r="137" spans="1:5">
      <c r="A137">
        <v>135</v>
      </c>
      <c r="B137" s="2">
        <v>0.18009460336571628</v>
      </c>
      <c r="C137" s="2">
        <v>0.70105183271423832</v>
      </c>
      <c r="D137" s="2">
        <v>1.2951948868671554E-3</v>
      </c>
      <c r="E137" s="2">
        <v>3.916370688726265E-3</v>
      </c>
    </row>
    <row r="138" spans="1:5">
      <c r="A138">
        <v>136</v>
      </c>
      <c r="B138" s="2">
        <v>0.18138905648897324</v>
      </c>
      <c r="C138" s="2">
        <v>0.70496553117078986</v>
      </c>
      <c r="D138" s="2">
        <v>1.2937097148119114E-3</v>
      </c>
      <c r="E138" s="2">
        <v>3.9110235896781054E-3</v>
      </c>
    </row>
    <row r="139" spans="1:5">
      <c r="A139">
        <v>137</v>
      </c>
      <c r="B139" s="2">
        <v>0.18268202196469344</v>
      </c>
      <c r="C139" s="2">
        <v>0.7088738785737988</v>
      </c>
      <c r="D139" s="2">
        <v>1.292219559895361E-3</v>
      </c>
      <c r="E139" s="2">
        <v>3.9056685731263204E-3</v>
      </c>
    </row>
    <row r="140" spans="1:5">
      <c r="A140">
        <v>138</v>
      </c>
      <c r="B140" s="2">
        <v>0.1839734947630072</v>
      </c>
      <c r="C140" s="2">
        <v>0.71277686699403131</v>
      </c>
      <c r="D140" s="2">
        <v>1.2907243314067118E-3</v>
      </c>
      <c r="E140" s="2">
        <v>3.9003056197072206E-3</v>
      </c>
    </row>
    <row r="141" spans="1:5">
      <c r="A141">
        <v>139</v>
      </c>
      <c r="B141" s="2">
        <v>0.18526346976825286</v>
      </c>
      <c r="C141" s="2">
        <v>0.71667448848898008</v>
      </c>
      <c r="D141" s="2">
        <v>1.2892239483164455E-3</v>
      </c>
      <c r="E141" s="2">
        <v>3.8949347220233236E-3</v>
      </c>
    </row>
    <row r="142" spans="1:5">
      <c r="A142">
        <v>140</v>
      </c>
      <c r="B142" s="2">
        <v>0.1865519417884251</v>
      </c>
      <c r="C142" s="2">
        <v>0.72056673511451197</v>
      </c>
      <c r="D142" s="2">
        <v>1.2877183388157892E-3</v>
      </c>
      <c r="E142" s="2">
        <v>3.8895558840187196E-3</v>
      </c>
    </row>
    <row r="143" spans="1:5">
      <c r="A143">
        <v>141</v>
      </c>
      <c r="B143" s="2">
        <v>0.18783890556417171</v>
      </c>
      <c r="C143" s="2">
        <v>0.72445359893590777</v>
      </c>
      <c r="D143" s="2">
        <v>1.2862074398751423E-3</v>
      </c>
      <c r="E143" s="2">
        <v>3.8841691203807642E-3</v>
      </c>
    </row>
    <row r="144" spans="1:5">
      <c r="A144">
        <v>142</v>
      </c>
      <c r="B144" s="2">
        <v>0.18912435577735692</v>
      </c>
      <c r="C144" s="2">
        <v>0.7283350720383156</v>
      </c>
      <c r="D144" s="2">
        <v>1.2846911968207081E-3</v>
      </c>
      <c r="E144" s="2">
        <v>3.8787744559670542E-3</v>
      </c>
    </row>
    <row r="145" spans="1:5">
      <c r="A145">
        <v>143</v>
      </c>
      <c r="B145" s="2">
        <v>0.19040828705921395</v>
      </c>
      <c r="C145" s="2">
        <v>0.73221114653664043</v>
      </c>
      <c r="D145" s="2">
        <v>1.2831695629286176E-3</v>
      </c>
      <c r="E145" s="2">
        <v>3.8733719252566881E-3</v>
      </c>
    </row>
    <row r="146" spans="1:5">
      <c r="A146">
        <v>144</v>
      </c>
      <c r="B146" s="2">
        <v>0.19169069399809413</v>
      </c>
      <c r="C146" s="2">
        <v>0.73608181458489841</v>
      </c>
      <c r="D146" s="2">
        <v>1.2816424990358666E-3</v>
      </c>
      <c r="E146" s="2">
        <v>3.8679615718248388E-3</v>
      </c>
    </row>
    <row r="147" spans="1:5">
      <c r="A147">
        <v>145</v>
      </c>
      <c r="B147" s="2">
        <v>0.19297157114684244</v>
      </c>
      <c r="C147" s="2">
        <v>0.73994706838506175</v>
      </c>
      <c r="D147" s="2">
        <v>1.2801099731674017E-3</v>
      </c>
      <c r="E147" s="2">
        <v>3.8625434478397357E-3</v>
      </c>
    </row>
    <row r="148" spans="1:5">
      <c r="A148">
        <v>146</v>
      </c>
      <c r="B148" s="2">
        <v>0.1942509130298008</v>
      </c>
      <c r="C148" s="2">
        <v>0.74380690019540474</v>
      </c>
      <c r="D148" s="2">
        <v>1.2785719601787161E-3</v>
      </c>
      <c r="E148" s="2">
        <v>3.857117613581121E-3</v>
      </c>
    </row>
    <row r="149" spans="1:5">
      <c r="A149">
        <v>147</v>
      </c>
      <c r="B149" s="2">
        <v>0.19552871414946754</v>
      </c>
      <c r="C149" s="2">
        <v>0.74766130233837924</v>
      </c>
      <c r="D149" s="2">
        <v>1.2770284414133476E-3</v>
      </c>
      <c r="E149" s="2">
        <v>3.8516841369793677E-3</v>
      </c>
    </row>
    <row r="150" spans="1:5">
      <c r="A150">
        <v>148</v>
      </c>
      <c r="B150" s="2">
        <v>0.19680496899281766</v>
      </c>
      <c r="C150" s="2">
        <v>0.75151026720804848</v>
      </c>
      <c r="D150" s="2">
        <v>1.2754794043746912E-3</v>
      </c>
      <c r="E150" s="2">
        <v>3.8462430931744114E-3</v>
      </c>
    </row>
    <row r="151" spans="1:5">
      <c r="A151">
        <v>149</v>
      </c>
      <c r="B151" s="2">
        <v>0.19807967203730348</v>
      </c>
      <c r="C151" s="2">
        <v>0.75535378727707514</v>
      </c>
      <c r="D151" s="2">
        <v>1.273924842411552E-3</v>
      </c>
      <c r="E151" s="2">
        <v>3.8407945640936934E-3</v>
      </c>
    </row>
    <row r="152" spans="1:5">
      <c r="A152">
        <v>150</v>
      </c>
      <c r="B152" s="2">
        <v>0.19935281775654767</v>
      </c>
      <c r="C152" s="2">
        <v>0.75919185510330811</v>
      </c>
      <c r="D152" s="2">
        <v>1.2723647544169068E-3</v>
      </c>
      <c r="E152" s="2">
        <v>3.8353386380483839E-3</v>
      </c>
    </row>
    <row r="153" spans="1:5">
      <c r="A153">
        <v>151</v>
      </c>
      <c r="B153" s="2">
        <v>0.2006244006257403</v>
      </c>
      <c r="C153" s="2">
        <v>0.76302446333596774</v>
      </c>
      <c r="D153" s="2">
        <v>1.2707991445393332E-3</v>
      </c>
      <c r="E153" s="2">
        <v>3.8298754093471182E-3</v>
      </c>
    </row>
    <row r="154" spans="1:5">
      <c r="A154">
        <v>152</v>
      </c>
      <c r="B154" s="2">
        <v>0.20189441512675485</v>
      </c>
      <c r="C154" s="2">
        <v>0.76685160472146041</v>
      </c>
      <c r="D154" s="2">
        <v>1.2692280219066192E-3</v>
      </c>
      <c r="E154" s="2">
        <v>3.8244049779265635E-3</v>
      </c>
    </row>
    <row r="155" spans="1:5">
      <c r="A155">
        <v>153</v>
      </c>
      <c r="B155" s="2">
        <v>0.2031628557529935</v>
      </c>
      <c r="C155" s="2">
        <v>0.77067327210881986</v>
      </c>
      <c r="D155" s="2">
        <v>1.2676514003610564E-3</v>
      </c>
      <c r="E155" s="2">
        <v>3.8189274489981327E-3</v>
      </c>
    </row>
    <row r="156" spans="1:5">
      <c r="A156">
        <v>154</v>
      </c>
      <c r="B156" s="2">
        <v>0.20442971701397172</v>
      </c>
      <c r="C156" s="2">
        <v>0.77448945845481898</v>
      </c>
      <c r="D156" s="2">
        <v>1.266069298205957E-3</v>
      </c>
      <c r="E156" s="2">
        <v>3.813442932710188E-3</v>
      </c>
    </row>
    <row r="157" spans="1:5">
      <c r="A157">
        <v>155</v>
      </c>
      <c r="B157" s="2">
        <v>0.20569499343965761</v>
      </c>
      <c r="C157" s="2">
        <v>0.77830015682873555</v>
      </c>
      <c r="D157" s="2">
        <v>1.2644817379629443E-3</v>
      </c>
      <c r="E157" s="2">
        <v>3.8079515438251268E-3</v>
      </c>
    </row>
    <row r="158" spans="1:5">
      <c r="A158">
        <v>156</v>
      </c>
      <c r="B158" s="2">
        <v>0.20695867958457106</v>
      </c>
      <c r="C158" s="2">
        <v>0.78210536041681333</v>
      </c>
      <c r="D158" s="2">
        <v>1.2628887461395883E-3</v>
      </c>
      <c r="E158" s="2">
        <v>3.8024534014107223E-3</v>
      </c>
    </row>
    <row r="159" spans="1:5">
      <c r="A159">
        <v>157</v>
      </c>
      <c r="B159" s="2">
        <v>0.20822077003165904</v>
      </c>
      <c r="C159" s="2">
        <v>0.78590506252641867</v>
      </c>
      <c r="D159" s="2">
        <v>1.2612903530069698E-3</v>
      </c>
      <c r="E159" s="2">
        <v>3.7969486285451682E-3</v>
      </c>
    </row>
    <row r="160" spans="1:5">
      <c r="A160">
        <v>158</v>
      </c>
      <c r="B160" s="2">
        <v>0.209481259395948</v>
      </c>
      <c r="C160" s="2">
        <v>0.78969925658990447</v>
      </c>
      <c r="D160" s="2">
        <v>1.2596865923867758E-3</v>
      </c>
      <c r="E160" s="2">
        <v>3.7914373520352511E-3</v>
      </c>
    </row>
    <row r="161" spans="1:5">
      <c r="A161">
        <v>159</v>
      </c>
      <c r="B161" s="2">
        <v>0.21074014232799362</v>
      </c>
      <c r="C161" s="2">
        <v>0.79348793616820523</v>
      </c>
      <c r="D161" s="2">
        <v>1.2580775014475469E-3</v>
      </c>
      <c r="E161" s="2">
        <v>3.7859197021471347E-3</v>
      </c>
    </row>
    <row r="162" spans="1:5">
      <c r="A162">
        <v>160</v>
      </c>
      <c r="B162" s="2">
        <v>0.21199741351712692</v>
      </c>
      <c r="C162" s="2">
        <v>0.79727109495416437</v>
      </c>
      <c r="D162" s="2">
        <v>1.2564631205097057E-3</v>
      </c>
      <c r="E162" s="2">
        <v>3.7803958123492337E-3</v>
      </c>
    </row>
    <row r="163" spans="1:5">
      <c r="A163">
        <v>161</v>
      </c>
      <c r="B163" s="2">
        <v>0.21325306769451383</v>
      </c>
      <c r="C163" s="2">
        <v>0.80104872677561001</v>
      </c>
      <c r="D163" s="2">
        <v>1.2548434928590139E-3</v>
      </c>
      <c r="E163" s="2">
        <v>3.7748658190666817E-3</v>
      </c>
    </row>
    <row r="164" spans="1:5">
      <c r="A164">
        <v>162</v>
      </c>
      <c r="B164" s="2">
        <v>0.21450709963602788</v>
      </c>
      <c r="C164" s="2">
        <v>0.80482082559819901</v>
      </c>
      <c r="D164" s="2">
        <v>1.2532186645681221E-3</v>
      </c>
      <c r="E164" s="2">
        <v>3.7693298614469416E-3</v>
      </c>
    </row>
    <row r="165" spans="1:5">
      <c r="A165">
        <v>163</v>
      </c>
      <c r="B165" s="2">
        <v>0.21575950416495049</v>
      </c>
      <c r="C165" s="2">
        <v>0.80858738552801701</v>
      </c>
      <c r="D165" s="2">
        <v>1.2515886843258803E-3</v>
      </c>
      <c r="E165" s="2">
        <v>3.7637880811360689E-3</v>
      </c>
    </row>
    <row r="166" spans="1:5">
      <c r="A166">
        <v>164</v>
      </c>
      <c r="B166" s="2">
        <v>0.21701027615450613</v>
      </c>
      <c r="C166" s="2">
        <v>0.81234840081397497</v>
      </c>
      <c r="D166" s="2">
        <v>1.249953603274103E-3</v>
      </c>
      <c r="E166" s="2">
        <v>3.7582406220652304E-3</v>
      </c>
    </row>
    <row r="167" spans="1:5">
      <c r="A167">
        <v>165</v>
      </c>
      <c r="B167" s="2">
        <v>0.21825941053023429</v>
      </c>
      <c r="C167" s="2">
        <v>0.81610386584999062</v>
      </c>
      <c r="D167" s="2">
        <v>1.2483134748514813E-3</v>
      </c>
      <c r="E167" s="2">
        <v>3.7526876302470362E-3</v>
      </c>
    </row>
    <row r="168" spans="1:5">
      <c r="A168">
        <v>166</v>
      </c>
      <c r="B168" s="2">
        <v>0.21950690227221145</v>
      </c>
      <c r="C168" s="2">
        <v>0.819853775176966</v>
      </c>
      <c r="D168" s="2">
        <v>1.2466683546443593E-3</v>
      </c>
      <c r="E168" s="2">
        <v>3.7471292535812806E-3</v>
      </c>
    </row>
    <row r="169" spans="1:5">
      <c r="A169">
        <v>167</v>
      </c>
      <c r="B169" s="2">
        <v>0.22075274641712628</v>
      </c>
      <c r="C169" s="2">
        <v>0.82359812348458605</v>
      </c>
      <c r="D169" s="2">
        <v>1.2450183002440923E-3</v>
      </c>
      <c r="E169" s="2">
        <v>3.7415656416697309E-3</v>
      </c>
    </row>
    <row r="170" spans="1:5">
      <c r="A170">
        <v>168</v>
      </c>
      <c r="B170" s="2">
        <v>0.22199693806021492</v>
      </c>
      <c r="C170" s="2">
        <v>0.82733690561292861</v>
      </c>
      <c r="D170" s="2">
        <v>1.243363371110723E-3</v>
      </c>
      <c r="E170" s="2">
        <v>3.7359969456395524E-3</v>
      </c>
    </row>
    <row r="171" spans="1:5">
      <c r="A171">
        <v>169</v>
      </c>
      <c r="B171" s="2">
        <v>0.22323947235706471</v>
      </c>
      <c r="C171" s="2">
        <v>0.83107011655390539</v>
      </c>
      <c r="D171" s="2">
        <v>1.2417036284427159E-3</v>
      </c>
      <c r="E171" s="2">
        <v>3.7304233179750569E-3</v>
      </c>
    </row>
    <row r="172" spans="1:5">
      <c r="A172">
        <v>170</v>
      </c>
      <c r="B172" s="2">
        <v>0.22448034452528828</v>
      </c>
      <c r="C172" s="2">
        <v>0.83479775145253554</v>
      </c>
      <c r="D172" s="2">
        <v>1.2400391350525107E-3</v>
      </c>
      <c r="E172" s="2">
        <v>3.7248449123574046E-3</v>
      </c>
    </row>
    <row r="173" spans="1:5">
      <c r="A173">
        <v>171</v>
      </c>
      <c r="B173" s="2">
        <v>0.22571954984607745</v>
      </c>
      <c r="C173" s="2">
        <v>0.83851980560806638</v>
      </c>
      <c r="D173" s="2">
        <v>1.2383699552476503E-3</v>
      </c>
      <c r="E173" s="2">
        <v>3.7192618835119313E-3</v>
      </c>
    </row>
    <row r="174" spans="1:5">
      <c r="A174">
        <v>172</v>
      </c>
      <c r="B174" s="2">
        <v>0.2269570836656411</v>
      </c>
      <c r="C174" s="2">
        <v>0.8422362744749452</v>
      </c>
      <c r="D174" s="2">
        <v>1.2366961547172605E-3</v>
      </c>
      <c r="E174" s="2">
        <v>3.713674387062806E-3</v>
      </c>
    </row>
    <row r="175" spans="1:5">
      <c r="A175">
        <v>173</v>
      </c>
      <c r="B175" s="2">
        <v>0.22819294139653185</v>
      </c>
      <c r="C175" s="2">
        <v>0.84594715366364437</v>
      </c>
      <c r="D175" s="2">
        <v>1.2350178004236652E-3</v>
      </c>
      <c r="E175" s="2">
        <v>3.7080825793946903E-3</v>
      </c>
    </row>
    <row r="176" spans="1:5">
      <c r="A176">
        <v>174</v>
      </c>
      <c r="B176" s="2">
        <v>0.22942711851886533</v>
      </c>
      <c r="C176" s="2">
        <v>0.849652438941358</v>
      </c>
      <c r="D176" s="2">
        <v>1.2333349604989221E-3</v>
      </c>
      <c r="E176" s="2">
        <v>3.7024866175211285E-3</v>
      </c>
    </row>
    <row r="177" spans="1:5">
      <c r="A177">
        <v>175</v>
      </c>
      <c r="B177" s="2">
        <v>0.23065961058144172</v>
      </c>
      <c r="C177" s="2">
        <v>0.85335212623256496</v>
      </c>
      <c r="D177" s="2">
        <v>1.2316477041460832E-3</v>
      </c>
      <c r="E177" s="2">
        <v>3.696886658959377E-3</v>
      </c>
    </row>
    <row r="178" spans="1:5">
      <c r="A178">
        <v>176</v>
      </c>
      <c r="B178" s="2">
        <v>0.23189041320276788</v>
      </c>
      <c r="C178" s="2">
        <v>0.85704621161947381</v>
      </c>
      <c r="D178" s="2">
        <v>1.2299561015449844E-3</v>
      </c>
      <c r="E178" s="2">
        <v>3.6912828616114091E-3</v>
      </c>
    </row>
    <row r="179" spans="1:5">
      <c r="A179">
        <v>177</v>
      </c>
      <c r="B179" s="2">
        <v>0.23311952207198794</v>
      </c>
      <c r="C179" s="2">
        <v>0.86073469134234859</v>
      </c>
      <c r="D179" s="2">
        <v>1.2282602237623779E-3</v>
      </c>
      <c r="E179" s="2">
        <v>3.6856753836508448E-3</v>
      </c>
    </row>
    <row r="180" spans="1:5">
      <c r="A180">
        <v>178</v>
      </c>
      <c r="B180" s="2">
        <v>0.234346932949728</v>
      </c>
      <c r="C180" s="2">
        <v>0.86441756179972784</v>
      </c>
      <c r="D180" s="2">
        <v>1.22656014266623E-3</v>
      </c>
      <c r="E180" s="2">
        <v>3.6800643834155374E-3</v>
      </c>
    </row>
    <row r="181" spans="1:5">
      <c r="A181">
        <v>179</v>
      </c>
      <c r="B181" s="2">
        <v>0.23557264166885511</v>
      </c>
      <c r="C181" s="2">
        <v>0.86809481954853396</v>
      </c>
      <c r="D181" s="2">
        <v>1.2248559308440171E-3</v>
      </c>
      <c r="E181" s="2">
        <v>3.6744500193056063E-3</v>
      </c>
    </row>
    <row r="182" spans="1:5">
      <c r="A182">
        <v>180</v>
      </c>
      <c r="B182" s="2">
        <v>0.23679664413515678</v>
      </c>
      <c r="C182" s="2">
        <v>0.87176646130408886</v>
      </c>
      <c r="D182" s="2">
        <v>1.2231476615248466E-3</v>
      </c>
      <c r="E182" s="2">
        <v>3.6688324496866693E-3</v>
      </c>
    </row>
    <row r="183" spans="1:5">
      <c r="A183">
        <v>181</v>
      </c>
      <c r="B183" s="2">
        <v>0.23801893632794613</v>
      </c>
      <c r="C183" s="2">
        <v>0.87543248394003181</v>
      </c>
      <c r="D183" s="2">
        <v>1.2214354085052542E-3</v>
      </c>
      <c r="E183" s="2">
        <v>3.6632118327980601E-3</v>
      </c>
    </row>
    <row r="184" spans="1:5">
      <c r="A184">
        <v>182</v>
      </c>
      <c r="B184" s="2">
        <v>0.23923951430059234</v>
      </c>
      <c r="C184" s="2">
        <v>0.87909288448814826</v>
      </c>
      <c r="D184" s="2">
        <v>1.2197192460785208E-3</v>
      </c>
      <c r="E184" s="2">
        <v>3.6575883266658283E-3</v>
      </c>
    </row>
    <row r="185" spans="1:5">
      <c r="A185">
        <v>183</v>
      </c>
      <c r="B185" s="2">
        <v>0.24045837418098295</v>
      </c>
      <c r="C185" s="2">
        <v>0.88274766013811712</v>
      </c>
      <c r="D185" s="2">
        <v>1.2179992489673658E-3</v>
      </c>
      <c r="E185" s="2">
        <v>3.6519620890203049E-3</v>
      </c>
    </row>
    <row r="186" spans="1:5">
      <c r="A186">
        <v>184</v>
      </c>
      <c r="B186" s="2">
        <v>0.24167551217192235</v>
      </c>
      <c r="C186" s="2">
        <v>0.88639680823716971</v>
      </c>
      <c r="D186" s="2">
        <v>1.2162754922598743E-3</v>
      </c>
      <c r="E186" s="2">
        <v>3.6463332772180596E-3</v>
      </c>
    </row>
    <row r="187" spans="1:5">
      <c r="A187">
        <v>185</v>
      </c>
      <c r="B187" s="2">
        <v>0.24289092455146444</v>
      </c>
      <c r="C187" s="2">
        <v>0.89004032628968621</v>
      </c>
      <c r="D187" s="2">
        <v>1.2145480513485287E-3</v>
      </c>
      <c r="E187" s="2">
        <v>3.6407020481680446E-3</v>
      </c>
    </row>
    <row r="188" spans="1:5">
      <c r="A188">
        <v>186</v>
      </c>
      <c r="B188" s="2">
        <v>0.24410460767318826</v>
      </c>
      <c r="C188" s="2">
        <v>0.8936782119567056</v>
      </c>
      <c r="D188" s="2">
        <v>1.2128170018722102E-3</v>
      </c>
      <c r="E188" s="2">
        <v>3.6350685582617606E-3</v>
      </c>
    </row>
    <row r="189" spans="1:5">
      <c r="A189">
        <v>187</v>
      </c>
      <c r="B189" s="2">
        <v>0.24531655796641685</v>
      </c>
      <c r="C189" s="2">
        <v>0.89731046305537809</v>
      </c>
      <c r="D189" s="2">
        <v>1.2110824196610536E-3</v>
      </c>
      <c r="E189" s="2">
        <v>3.6294329633072674E-3</v>
      </c>
    </row>
    <row r="190" spans="1:5">
      <c r="A190">
        <v>188</v>
      </c>
      <c r="B190" s="2">
        <v>0.24652677193638131</v>
      </c>
      <c r="C190" s="2">
        <v>0.9009370775583504</v>
      </c>
      <c r="D190" s="2">
        <v>1.2093443806840273E-3</v>
      </c>
      <c r="E190" s="2">
        <v>3.6237954184668796E-3</v>
      </c>
    </row>
    <row r="191" spans="1:5">
      <c r="A191">
        <v>189</v>
      </c>
      <c r="B191" s="2">
        <v>0.24773524616433304</v>
      </c>
      <c r="C191" s="2">
        <v>0.90455805359308561</v>
      </c>
      <c r="D191" s="2">
        <v>1.2076029609991365E-3</v>
      </c>
      <c r="E191" s="2">
        <v>3.6181560781983753E-3</v>
      </c>
    </row>
    <row r="192" spans="1:5">
      <c r="A192">
        <v>190</v>
      </c>
      <c r="B192" s="2">
        <v>0.24894197730761142</v>
      </c>
      <c r="C192" s="2">
        <v>0.9081733894411379</v>
      </c>
      <c r="D192" s="2">
        <v>1.2058582367061269E-3</v>
      </c>
      <c r="E192" s="2">
        <v>3.6125150961995936E-3</v>
      </c>
    </row>
    <row r="193" spans="1:5">
      <c r="A193">
        <v>191</v>
      </c>
      <c r="B193" s="2">
        <v>0.25014696209966047</v>
      </c>
      <c r="C193" s="2">
        <v>0.91178308353735826</v>
      </c>
      <c r="D193" s="2">
        <v>1.2041102839015951E-3</v>
      </c>
      <c r="E193" s="2">
        <v>3.6068726253562435E-3</v>
      </c>
    </row>
    <row r="194" spans="1:5">
      <c r="A194">
        <v>192</v>
      </c>
      <c r="B194" s="2">
        <v>0.25135019735000558</v>
      </c>
      <c r="C194" s="2">
        <v>0.91538713446906161</v>
      </c>
      <c r="D194" s="2">
        <v>1.2023591786363987E-3</v>
      </c>
      <c r="E194" s="2">
        <v>3.6012288176928147E-3</v>
      </c>
    </row>
    <row r="195" spans="1:5">
      <c r="A195">
        <v>193</v>
      </c>
      <c r="B195" s="2">
        <v>0.25255167994418587</v>
      </c>
      <c r="C195" s="2">
        <v>0.91898554097514107</v>
      </c>
      <c r="D195" s="2">
        <v>1.200604996875271E-3</v>
      </c>
      <c r="E195" s="2">
        <v>3.595583824326429E-3</v>
      </c>
    </row>
    <row r="196" spans="1:5">
      <c r="A196">
        <v>194</v>
      </c>
      <c r="B196" s="2">
        <v>0.25375140684364927</v>
      </c>
      <c r="C196" s="2">
        <v>0.92257830194514057</v>
      </c>
      <c r="D196" s="2">
        <v>1.1988478144585471E-3</v>
      </c>
      <c r="E196" s="2">
        <v>3.5899377954235314E-3</v>
      </c>
    </row>
    <row r="197" spans="1:5">
      <c r="A197">
        <v>195</v>
      </c>
      <c r="B197" s="2">
        <v>0.25494937508561011</v>
      </c>
      <c r="C197" s="2">
        <v>0.92616541641827799</v>
      </c>
      <c r="D197" s="2">
        <v>1.197087707065912E-3</v>
      </c>
      <c r="E197" s="2">
        <v>3.5842908801592709E-3</v>
      </c>
    </row>
    <row r="198" spans="1:5">
      <c r="A198">
        <v>196</v>
      </c>
      <c r="B198" s="2">
        <v>0.25614558178286945</v>
      </c>
      <c r="C198" s="2">
        <v>0.92974688358244006</v>
      </c>
      <c r="D198" s="2">
        <v>1.1953247501820862E-3</v>
      </c>
      <c r="E198" s="2">
        <v>3.5786432266794754E-3</v>
      </c>
    </row>
    <row r="199" spans="1:5">
      <c r="A199">
        <v>197</v>
      </c>
      <c r="B199" s="2">
        <v>0.25734002412360601</v>
      </c>
      <c r="C199" s="2">
        <v>0.93332270277313201</v>
      </c>
      <c r="D199" s="2">
        <v>1.193559019064365E-3</v>
      </c>
      <c r="E199" s="2">
        <v>3.5729949820650906E-3</v>
      </c>
    </row>
    <row r="200" spans="1:5">
      <c r="A200">
        <v>198</v>
      </c>
      <c r="B200" s="2">
        <v>0.2585326993711306</v>
      </c>
      <c r="C200" s="2">
        <v>0.9368928734723968</v>
      </c>
      <c r="D200" s="2">
        <v>1.1917905887119343E-3</v>
      </c>
      <c r="E200" s="2">
        <v>3.5673462922989865E-3</v>
      </c>
    </row>
    <row r="201" spans="1:5">
      <c r="A201">
        <v>199</v>
      </c>
      <c r="B201" s="2">
        <v>0.25972360486361434</v>
      </c>
      <c r="C201" s="2">
        <v>0.9404573953076989</v>
      </c>
      <c r="D201" s="2">
        <v>1.1900195338368843E-3</v>
      </c>
      <c r="E201" s="2">
        <v>3.5616973022350169E-3</v>
      </c>
    </row>
    <row r="202" spans="1:5">
      <c r="A202">
        <v>200</v>
      </c>
      <c r="B202" s="2">
        <v>0.26091273801378873</v>
      </c>
      <c r="C202" s="2">
        <v>0.9440162680507862</v>
      </c>
      <c r="D202" s="2">
        <v>1.188245928836853E-3</v>
      </c>
      <c r="E202" s="2">
        <v>3.5560481555692407E-3</v>
      </c>
    </row>
    <row r="203" spans="1:5">
      <c r="A203">
        <v>201</v>
      </c>
      <c r="B203" s="2">
        <v>0.26210009630861614</v>
      </c>
      <c r="C203" s="2">
        <v>0.94756949161650861</v>
      </c>
      <c r="D203" s="2">
        <v>1.1864698477692239E-3</v>
      </c>
      <c r="E203" s="2">
        <v>3.5503989948131977E-3</v>
      </c>
    </row>
  </sheetData>
  <phoneticPr fontId="3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4829D-2023-4A3E-8560-284BC0961F28}">
  <sheetPr codeName="Sheet4"/>
  <dimension ref="A1:M2"/>
  <sheetViews>
    <sheetView showGridLines="0" workbookViewId="0">
      <selection activeCell="P6" sqref="P6"/>
    </sheetView>
  </sheetViews>
  <sheetFormatPr defaultRowHeight="11.25"/>
  <cols>
    <col min="1" max="8" width="9.83203125" style="2" customWidth="1"/>
  </cols>
  <sheetData>
    <row r="1" spans="1:13">
      <c r="A1" s="4"/>
      <c r="B1" s="4"/>
      <c r="C1" s="4"/>
      <c r="D1" s="5"/>
      <c r="E1" s="5"/>
      <c r="F1" s="5"/>
      <c r="G1" s="5"/>
      <c r="H1" s="5"/>
      <c r="I1" s="5"/>
      <c r="J1" s="5"/>
      <c r="K1" s="5"/>
      <c r="L1" s="5"/>
      <c r="M1" s="5"/>
    </row>
    <row r="2" spans="1:13" s="11" customFormat="1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</row>
  </sheetData>
  <phoneticPr fontId="3"/>
  <pageMargins left="0.7" right="0.7" top="0.75" bottom="0.75" header="0.3" footer="0.3"/>
  <pageSetup paperSize="9"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変更履歴</vt:lpstr>
      <vt:lpstr>壁体構成</vt:lpstr>
      <vt:lpstr>応答係数</vt:lpstr>
      <vt:lpstr>応答係数Template</vt:lpstr>
      <vt:lpstr>パラメータ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satoh-er</dc:creator>
  <cp:lastModifiedBy>Makoto Satoh</cp:lastModifiedBy>
  <cp:lastPrinted>2015-12-17T05:10:53Z</cp:lastPrinted>
  <dcterms:created xsi:type="dcterms:W3CDTF">2015-11-12T05:00:51Z</dcterms:created>
  <dcterms:modified xsi:type="dcterms:W3CDTF">2022-10-19T10:10:00Z</dcterms:modified>
</cp:coreProperties>
</file>