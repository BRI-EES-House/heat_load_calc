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satoh\Documents\sourcetree\heat_load_calc\src\test\test_steady_multizone\"/>
    </mc:Choice>
  </mc:AlternateContent>
  <xr:revisionPtr revIDLastSave="0" documentId="13_ncr:1_{D86806A2-D0D3-486B-9737-0CE5BA82F7AB}" xr6:coauthVersionLast="47" xr6:coauthVersionMax="47" xr10:uidLastSave="{00000000-0000-0000-0000-000000000000}"/>
  <bookViews>
    <workbookView minimized="1" xWindow="1332" yWindow="2064" windowWidth="17256" windowHeight="8868" xr2:uid="{45A1B7A6-7409-41F9-BB10-4729754C71E5}"/>
  </bookViews>
  <sheets>
    <sheet name="熱伝達率" sheetId="2" r:id="rId1"/>
    <sheet name="正解値" sheetId="1" r:id="rId2"/>
  </sheets>
  <calcPr calcId="191029" iterate="1" iterateCount="30046" iterateDelta="1E-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2" l="1"/>
  <c r="M33" i="1"/>
  <c r="M34" i="1"/>
  <c r="M35" i="1"/>
  <c r="M36" i="1"/>
  <c r="M37" i="1"/>
  <c r="M40" i="1"/>
  <c r="M41" i="1"/>
  <c r="M42" i="1"/>
  <c r="M43" i="1"/>
  <c r="M44" i="1"/>
  <c r="T44" i="1"/>
  <c r="T45" i="1"/>
  <c r="T46" i="1"/>
  <c r="T40" i="1"/>
  <c r="T41" i="1"/>
  <c r="T42" i="1"/>
  <c r="T33" i="1"/>
  <c r="T34" i="1"/>
  <c r="T35" i="1"/>
  <c r="T37" i="1"/>
  <c r="T38" i="1"/>
  <c r="T39" i="1"/>
  <c r="C33" i="1"/>
  <c r="C34" i="1"/>
  <c r="C35" i="1"/>
  <c r="C38" i="1"/>
  <c r="K38" i="1"/>
  <c r="M38" i="1" s="1"/>
  <c r="E20" i="1" s="1"/>
  <c r="C36" i="1"/>
  <c r="C37" i="1"/>
  <c r="C40" i="1"/>
  <c r="C41" i="1"/>
  <c r="C42" i="1"/>
  <c r="C45" i="1"/>
  <c r="K45" i="1"/>
  <c r="M45" i="1" s="1"/>
  <c r="C43" i="1"/>
  <c r="C44" i="1"/>
  <c r="E9" i="2" l="1"/>
  <c r="A4" i="2" l="1"/>
  <c r="A5" i="2"/>
  <c r="A3" i="2"/>
  <c r="E4" i="2"/>
  <c r="E5" i="2"/>
  <c r="E8" i="2"/>
  <c r="E6" i="2"/>
  <c r="E7" i="2"/>
  <c r="E3" i="2"/>
  <c r="C9" i="2" l="1"/>
  <c r="D9" i="2" s="1"/>
  <c r="F9" i="2" s="1"/>
  <c r="G46" i="1" l="1"/>
  <c r="I46" i="1" s="1"/>
  <c r="G39" i="1"/>
  <c r="I39" i="1" s="1"/>
  <c r="C5" i="2"/>
  <c r="D5" i="2" s="1"/>
  <c r="F5" i="2" s="1"/>
  <c r="C8" i="2"/>
  <c r="D8" i="2" s="1"/>
  <c r="F8" i="2" s="1"/>
  <c r="C7" i="2"/>
  <c r="D7" i="2" s="1"/>
  <c r="F7" i="2" s="1"/>
  <c r="C4" i="2"/>
  <c r="D4" i="2" s="1"/>
  <c r="F4" i="2" s="1"/>
  <c r="C6" i="2"/>
  <c r="D6" i="2" s="1"/>
  <c r="F6" i="2" s="1"/>
  <c r="C3" i="2"/>
  <c r="D3" i="2" s="1"/>
  <c r="D10" i="2" l="1"/>
  <c r="G34" i="1"/>
  <c r="I34" i="1" s="1"/>
  <c r="L34" i="1" s="1"/>
  <c r="G41" i="1"/>
  <c r="I41" i="1" s="1"/>
  <c r="L41" i="1" s="1"/>
  <c r="G37" i="1"/>
  <c r="I37" i="1" s="1"/>
  <c r="L37" i="1" s="1"/>
  <c r="G44" i="1"/>
  <c r="I44" i="1" s="1"/>
  <c r="L44" i="1" s="1"/>
  <c r="G45" i="1"/>
  <c r="I45" i="1" s="1"/>
  <c r="L45" i="1" s="1"/>
  <c r="G38" i="1"/>
  <c r="I38" i="1" s="1"/>
  <c r="L38" i="1" s="1"/>
  <c r="G35" i="1"/>
  <c r="I35" i="1" s="1"/>
  <c r="L35" i="1" s="1"/>
  <c r="G42" i="1"/>
  <c r="I42" i="1" s="1"/>
  <c r="L42" i="1" s="1"/>
  <c r="G36" i="1"/>
  <c r="I36" i="1" s="1"/>
  <c r="L36" i="1" s="1"/>
  <c r="G43" i="1"/>
  <c r="I43" i="1" s="1"/>
  <c r="L43" i="1" s="1"/>
  <c r="J46" i="1"/>
  <c r="J39" i="1"/>
  <c r="F3" i="2"/>
  <c r="L39" i="1" l="1"/>
  <c r="M39" i="1"/>
  <c r="L46" i="1"/>
  <c r="M46" i="1"/>
  <c r="G33" i="1"/>
  <c r="I33" i="1" s="1"/>
  <c r="L33" i="1" s="1"/>
  <c r="G40" i="1"/>
  <c r="I40" i="1" s="1"/>
  <c r="L40" i="1" s="1"/>
  <c r="I21" i="1" l="1"/>
  <c r="E22" i="1"/>
  <c r="E23" i="1"/>
  <c r="E24" i="1"/>
  <c r="E26" i="1"/>
  <c r="E27" i="1"/>
  <c r="E28" i="1"/>
  <c r="N33" i="1"/>
  <c r="O33" i="1"/>
  <c r="P33" i="1"/>
  <c r="Q33" i="1"/>
  <c r="R33" i="1"/>
  <c r="S33" i="1"/>
  <c r="U33" i="1"/>
  <c r="N34" i="1"/>
  <c r="O34" i="1"/>
  <c r="P34" i="1"/>
  <c r="Q34" i="1"/>
  <c r="R34" i="1"/>
  <c r="S34" i="1"/>
  <c r="N35" i="1"/>
  <c r="O35" i="1"/>
  <c r="P35" i="1"/>
  <c r="Q35" i="1"/>
  <c r="R35" i="1"/>
  <c r="S35" i="1"/>
  <c r="N36" i="1"/>
  <c r="O36" i="1"/>
  <c r="P36" i="1"/>
  <c r="Q36" i="1"/>
  <c r="R36" i="1"/>
  <c r="S36" i="1"/>
  <c r="N37" i="1"/>
  <c r="O37" i="1"/>
  <c r="P37" i="1"/>
  <c r="Q37" i="1"/>
  <c r="R37" i="1"/>
  <c r="S37" i="1"/>
  <c r="N38" i="1"/>
  <c r="O38" i="1"/>
  <c r="P38" i="1"/>
  <c r="Q38" i="1"/>
  <c r="R38" i="1"/>
  <c r="S38" i="1"/>
  <c r="C39" i="1"/>
  <c r="N39" i="1"/>
  <c r="O39" i="1"/>
  <c r="P39" i="1"/>
  <c r="Q39" i="1"/>
  <c r="R39" i="1"/>
  <c r="S39" i="1"/>
  <c r="N40" i="1"/>
  <c r="O40" i="1"/>
  <c r="P40" i="1"/>
  <c r="Q40" i="1"/>
  <c r="R40" i="1"/>
  <c r="S40" i="1"/>
  <c r="U40" i="1"/>
  <c r="N41" i="1"/>
  <c r="O41" i="1"/>
  <c r="P41" i="1"/>
  <c r="Q41" i="1"/>
  <c r="R41" i="1"/>
  <c r="S41" i="1"/>
  <c r="N42" i="1"/>
  <c r="O42" i="1"/>
  <c r="P42" i="1"/>
  <c r="Q42" i="1"/>
  <c r="R42" i="1"/>
  <c r="S42" i="1"/>
  <c r="N43" i="1"/>
  <c r="O43" i="1"/>
  <c r="P43" i="1"/>
  <c r="Q43" i="1"/>
  <c r="R43" i="1"/>
  <c r="S43" i="1"/>
  <c r="N44" i="1"/>
  <c r="O44" i="1"/>
  <c r="P44" i="1"/>
  <c r="Q44" i="1"/>
  <c r="R44" i="1"/>
  <c r="S44" i="1"/>
  <c r="N45" i="1"/>
  <c r="O45" i="1"/>
  <c r="P45" i="1"/>
  <c r="Q45" i="1"/>
  <c r="R45" i="1"/>
  <c r="S45" i="1"/>
  <c r="C46" i="1"/>
  <c r="N46" i="1"/>
  <c r="O46" i="1"/>
  <c r="P46" i="1"/>
  <c r="Q46" i="1"/>
  <c r="R46" i="1"/>
  <c r="S46" i="1"/>
  <c r="O51" i="1"/>
  <c r="S51" i="1"/>
  <c r="O52" i="1"/>
  <c r="S52" i="1"/>
  <c r="O53" i="1"/>
  <c r="S53" i="1"/>
  <c r="O54" i="1"/>
  <c r="S54" i="1"/>
  <c r="O55" i="1"/>
  <c r="S55" i="1"/>
  <c r="O56" i="1"/>
  <c r="S56" i="1"/>
  <c r="O57" i="1"/>
  <c r="S57" i="1"/>
  <c r="O58" i="1"/>
  <c r="S58" i="1"/>
  <c r="O59" i="1"/>
  <c r="S59" i="1"/>
  <c r="O60" i="1"/>
  <c r="S60" i="1"/>
  <c r="O61" i="1"/>
  <c r="S61" i="1"/>
  <c r="O62" i="1"/>
  <c r="S62" i="1"/>
  <c r="O63" i="1"/>
  <c r="S63" i="1"/>
  <c r="O64" i="1"/>
  <c r="S64" i="1"/>
</calcChain>
</file>

<file path=xl/sharedStrings.xml><?xml version="1.0" encoding="utf-8"?>
<sst xmlns="http://schemas.openxmlformats.org/spreadsheetml/2006/main" count="115" uniqueCount="78">
  <si>
    <t>℃</t>
  </si>
  <si>
    <t>㎡･K/W</t>
  </si>
  <si>
    <t>W/(㎡･K)</t>
  </si>
  <si>
    <t>㎡</t>
  </si>
  <si>
    <t>永田の方法</t>
    <rPh sb="0" eb="2">
      <t>ナガタ</t>
    </rPh>
    <rPh sb="3" eb="5">
      <t>ホウホウ</t>
    </rPh>
    <phoneticPr fontId="5"/>
  </si>
  <si>
    <t>面積</t>
    <rPh sb="0" eb="2">
      <t>メンセキ</t>
    </rPh>
    <phoneticPr fontId="5"/>
  </si>
  <si>
    <t>面積比</t>
    <rPh sb="0" eb="2">
      <t>メンセキ</t>
    </rPh>
    <rPh sb="2" eb="3">
      <t>ヒ</t>
    </rPh>
    <phoneticPr fontId="5"/>
  </si>
  <si>
    <t>微小球から面を見た形態係数</t>
    <rPh sb="0" eb="2">
      <t>ビショウ</t>
    </rPh>
    <rPh sb="2" eb="3">
      <t>キュウ</t>
    </rPh>
    <rPh sb="5" eb="6">
      <t>メン</t>
    </rPh>
    <rPh sb="7" eb="8">
      <t>ミ</t>
    </rPh>
    <rPh sb="9" eb="11">
      <t>ケイタイ</t>
    </rPh>
    <rPh sb="11" eb="13">
      <t>ケイスウ</t>
    </rPh>
    <phoneticPr fontId="5"/>
  </si>
  <si>
    <t>放射率</t>
    <rPh sb="0" eb="3">
      <t>ホウシャリツ</t>
    </rPh>
    <phoneticPr fontId="5"/>
  </si>
  <si>
    <t>放射熱伝達率[W/(m2･K)]</t>
    <rPh sb="0" eb="2">
      <t>ホウシャ</t>
    </rPh>
    <rPh sb="2" eb="6">
      <t>ネツデンタツリツ</t>
    </rPh>
    <phoneticPr fontId="5"/>
  </si>
  <si>
    <t>f_bar</t>
    <phoneticPr fontId="5"/>
  </si>
  <si>
    <t>平均温度</t>
    <rPh sb="0" eb="2">
      <t>ヘイキン</t>
    </rPh>
    <rPh sb="2" eb="4">
      <t>オンド</t>
    </rPh>
    <phoneticPr fontId="5"/>
  </si>
  <si>
    <t>計</t>
    <rPh sb="0" eb="1">
      <t>ケイ</t>
    </rPh>
    <phoneticPr fontId="5"/>
  </si>
  <si>
    <t>窓</t>
    <rPh sb="0" eb="1">
      <t>マド</t>
    </rPh>
    <phoneticPr fontId="3"/>
  </si>
  <si>
    <t>内壁</t>
    <rPh sb="0" eb="2">
      <t>ナイヘキ</t>
    </rPh>
    <phoneticPr fontId="3"/>
  </si>
  <si>
    <t>壁</t>
  </si>
  <si>
    <t>床</t>
  </si>
  <si>
    <t>屋根</t>
  </si>
  <si>
    <t>計算条件</t>
  </si>
  <si>
    <t>屋根と床が合板12mm、壁が複層ガラスの1m角の立方体の単室モデル。</t>
  </si>
  <si>
    <t>外気温度一定。日射、夜間放射は考慮なし。</t>
  </si>
  <si>
    <t>内部発熱一定。</t>
  </si>
  <si>
    <t>計算方法</t>
  </si>
  <si>
    <t>室空気からの対流熱損失が内部発熱と一致するよう収束計算を行い、室温等を決定する。</t>
  </si>
  <si>
    <t>室空気からの対流熱損失は、室空気と表面温度の温度差、対流熱伝達率より求める。</t>
  </si>
  <si>
    <t>収束計算の過程において、室空気からの対流熱損失が、内部発熱の設定と差がある場合、（内部発熱ー対流熱損失）/Q値を室温に加算。その際のQ値は室内側表面熱伝達率は対流のみを考慮。</t>
  </si>
  <si>
    <t>室内側表面温度は、相当外気温度、室内側作用温度、屋外から室内までの熱抵抗、屋外から室内側表面までの熱抵抗より求める。</t>
  </si>
  <si>
    <t>作用温度は、室空気温度、微小球温度、対流熱伝達率、放射熱伝達率より求める。</t>
  </si>
  <si>
    <t>微小球温度は、Σ（面積×放射熱伝達率×表面温度）÷Σ（面積×放射熱伝達率）とする。</t>
  </si>
  <si>
    <t>放射熱伝達率は永田先生の方法、対流熱伝達率は室内側表面熱伝達抵抗(固定値）と放射熱伝達率より求める。</t>
  </si>
  <si>
    <t>テスト項目</t>
  </si>
  <si>
    <t>室温、表面温度、表面熱流を比較する。</t>
  </si>
  <si>
    <t>項目</t>
  </si>
  <si>
    <t>値</t>
  </si>
  <si>
    <t>単位</t>
  </si>
  <si>
    <t>備考</t>
  </si>
  <si>
    <t>設定</t>
  </si>
  <si>
    <t>気象</t>
  </si>
  <si>
    <t>外気温度</t>
  </si>
  <si>
    <t>建物</t>
  </si>
  <si>
    <t>熱損失係数</t>
  </si>
  <si>
    <t>W/K</t>
  </si>
  <si>
    <t>内部発熱</t>
  </si>
  <si>
    <t>W</t>
  </si>
  <si>
    <t>計算結果</t>
  </si>
  <si>
    <t>対流熱損失</t>
  </si>
  <si>
    <t>室温</t>
  </si>
  <si>
    <t>微小球温度</t>
  </si>
  <si>
    <t>相当外気温度</t>
  </si>
  <si>
    <t>温度差係数</t>
  </si>
  <si>
    <t>面積</t>
  </si>
  <si>
    <t>放射率</t>
  </si>
  <si>
    <t>放射熱伝達率</t>
  </si>
  <si>
    <t>対流熱伝達率</t>
  </si>
  <si>
    <t>室内側表面熱伝達抵抗</t>
  </si>
  <si>
    <t>屋外側表面熱伝達抵抗</t>
  </si>
  <si>
    <t>部材熱抵抗</t>
  </si>
  <si>
    <t>表面温度</t>
  </si>
  <si>
    <t>表面熱流（対流）</t>
  </si>
  <si>
    <t>表面熱流（放射）</t>
  </si>
  <si>
    <t>表面熱流</t>
  </si>
  <si>
    <t>人体に対する形態係数</t>
  </si>
  <si>
    <t>人体に対する平均放射温度</t>
  </si>
  <si>
    <t>－</t>
  </si>
  <si>
    <t>-</t>
  </si>
  <si>
    <t>W/㎡</t>
  </si>
  <si>
    <t>e_room</t>
  </si>
  <si>
    <t>窓</t>
  </si>
  <si>
    <t>内壁</t>
  </si>
  <si>
    <t>w_room</t>
  </si>
  <si>
    <t>熱貫流率</t>
  </si>
  <si>
    <t>等価室温</t>
  </si>
  <si>
    <t>2室合計</t>
    <rPh sb="1" eb="2">
      <t>シツ</t>
    </rPh>
    <rPh sb="2" eb="4">
      <t>ゴウケイ</t>
    </rPh>
    <phoneticPr fontId="3"/>
  </si>
  <si>
    <t>簡単な室温計算</t>
    <rPh sb="0" eb="2">
      <t>カンタン</t>
    </rPh>
    <rPh sb="3" eb="5">
      <t>シツオン</t>
    </rPh>
    <rPh sb="5" eb="7">
      <t>ケイサン</t>
    </rPh>
    <phoneticPr fontId="3"/>
  </si>
  <si>
    <t>床</t>
    <phoneticPr fontId="3"/>
  </si>
  <si>
    <t>屋根</t>
    <rPh sb="0" eb="2">
      <t>ヤネ</t>
    </rPh>
    <phoneticPr fontId="3"/>
  </si>
  <si>
    <t>Pythonテスト用並び替え</t>
    <rPh sb="9" eb="10">
      <t>ヨウ</t>
    </rPh>
    <rPh sb="10" eb="11">
      <t>ナラ</t>
    </rPh>
    <rPh sb="12" eb="13">
      <t>カ</t>
    </rPh>
    <phoneticPr fontId="3"/>
  </si>
  <si>
    <t>熱貫流率（対流のみ）</t>
    <rPh sb="0" eb="4">
      <t>ネツカンリュウリツ</t>
    </rPh>
    <rPh sb="5" eb="7">
      <t>タイリュウ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</si>
</sst>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000000000"/>
    <numFmt numFmtId="177" formatCode="0.000000000000"/>
    <numFmt numFmtId="178" formatCode="0.000000000000000"/>
    <numFmt numFmtId="179" formatCode="0.000"/>
    <numFmt numFmtId="180" formatCode="0.00000000"/>
    <numFmt numFmtId="181" formatCode="0.0000000"/>
  </numFmts>
  <fonts count="6" x14ac:knownFonts="1">
    <font>
      <sz val="11"/>
      <color theme="1"/>
      <name val="游ゴシック"/>
      <family val="2"/>
      <charset val="128"/>
      <scheme val="minor"/>
    </font>
    <font>
      <sz val="9"/>
      <color theme="1"/>
      <name val="Meiryo UI"/>
      <family val="2"/>
      <charset val="128"/>
    </font>
    <font>
      <sz val="9"/>
      <color theme="1"/>
      <name val="Meiryo UI"/>
      <family val="2"/>
      <charset val="128"/>
    </font>
    <font>
      <sz val="6"/>
      <name val="游ゴシック"/>
      <family val="2"/>
      <charset val="128"/>
      <scheme val="minor"/>
    </font>
    <font>
      <sz val="9"/>
      <color theme="1"/>
      <name val="Meiryo UI"/>
      <family val="2"/>
      <charset val="128"/>
    </font>
    <font>
      <sz val="6"/>
      <name val="Meiryo UI"/>
      <family val="2"/>
      <charset val="128"/>
    </font>
  </fonts>
  <fills count="4">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alignment vertical="center"/>
    </xf>
    <xf numFmtId="0" fontId="4" fillId="0" borderId="0">
      <alignment vertical="center"/>
    </xf>
  </cellStyleXfs>
  <cellXfs count="45">
    <xf numFmtId="0" fontId="0" fillId="0" borderId="0" xfId="0">
      <alignment vertical="center"/>
    </xf>
    <xf numFmtId="0" fontId="0" fillId="0" borderId="1" xfId="0" applyBorder="1">
      <alignment vertical="center"/>
    </xf>
    <xf numFmtId="0" fontId="0" fillId="0" borderId="1" xfId="0" applyFill="1" applyBorder="1" applyAlignment="1">
      <alignment horizontal="center" vertical="center"/>
    </xf>
    <xf numFmtId="177" fontId="0" fillId="0" borderId="1" xfId="0" applyNumberFormat="1" applyBorder="1">
      <alignment vertical="center"/>
    </xf>
    <xf numFmtId="178" fontId="0" fillId="0" borderId="1" xfId="0" applyNumberFormat="1" applyBorder="1">
      <alignment vertical="center"/>
    </xf>
    <xf numFmtId="176" fontId="0" fillId="0" borderId="1" xfId="0" applyNumberFormat="1" applyFill="1" applyBorder="1">
      <alignment vertical="center"/>
    </xf>
    <xf numFmtId="0" fontId="4" fillId="0" borderId="1" xfId="1" applyBorder="1">
      <alignment vertical="center"/>
    </xf>
    <xf numFmtId="0" fontId="4" fillId="0" borderId="0" xfId="1">
      <alignment vertical="center"/>
    </xf>
    <xf numFmtId="0" fontId="4" fillId="0" borderId="1" xfId="1" applyBorder="1" applyAlignment="1">
      <alignment vertical="center" wrapText="1"/>
    </xf>
    <xf numFmtId="0" fontId="4" fillId="2" borderId="1" xfId="1" applyFill="1" applyBorder="1">
      <alignment vertical="center"/>
    </xf>
    <xf numFmtId="2" fontId="4" fillId="0" borderId="1" xfId="1" applyNumberFormat="1" applyBorder="1">
      <alignment vertical="center"/>
    </xf>
    <xf numFmtId="179" fontId="4" fillId="0" borderId="1" xfId="1" applyNumberFormat="1" applyBorder="1">
      <alignment vertical="center"/>
    </xf>
    <xf numFmtId="180" fontId="4" fillId="0" borderId="1" xfId="1" applyNumberFormat="1" applyBorder="1">
      <alignment vertical="center"/>
    </xf>
    <xf numFmtId="180" fontId="4" fillId="2" borderId="1" xfId="1" applyNumberFormat="1" applyFill="1" applyBorder="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2" fillId="0" borderId="1" xfId="1" applyFont="1" applyBorder="1">
      <alignment vertical="center"/>
    </xf>
    <xf numFmtId="0" fontId="0" fillId="0" borderId="2" xfId="0" applyBorder="1">
      <alignment vertical="center"/>
    </xf>
    <xf numFmtId="0" fontId="0" fillId="0" borderId="2" xfId="0" applyFill="1" applyBorder="1" applyAlignment="1">
      <alignment horizontal="center" vertical="center"/>
    </xf>
    <xf numFmtId="0" fontId="0" fillId="0" borderId="3" xfId="0" applyBorder="1">
      <alignment vertical="center"/>
    </xf>
    <xf numFmtId="0" fontId="0" fillId="0" borderId="4" xfId="0" applyBorder="1" applyAlignment="1">
      <alignment horizontal="center" vertical="center"/>
    </xf>
    <xf numFmtId="0" fontId="0" fillId="0" borderId="4" xfId="0" applyBorder="1">
      <alignment vertical="center"/>
    </xf>
    <xf numFmtId="176" fontId="0" fillId="0" borderId="4" xfId="0" applyNumberFormat="1" applyFill="1" applyBorder="1">
      <alignment vertical="center"/>
    </xf>
    <xf numFmtId="177" fontId="0" fillId="0" borderId="4" xfId="0" applyNumberFormat="1" applyBorder="1">
      <alignment vertical="center"/>
    </xf>
    <xf numFmtId="0" fontId="0" fillId="0" borderId="5" xfId="0" applyBorder="1">
      <alignment vertical="center"/>
    </xf>
    <xf numFmtId="0" fontId="0" fillId="3" borderId="0" xfId="0" applyFill="1">
      <alignment vertical="center"/>
    </xf>
    <xf numFmtId="0" fontId="0" fillId="0" borderId="1" xfId="0" applyBorder="1" applyAlignment="1">
      <alignment horizontal="center" vertical="center"/>
    </xf>
    <xf numFmtId="0" fontId="1" fillId="0" borderId="1" xfId="1" applyFont="1" applyBorder="1">
      <alignment vertical="center"/>
    </xf>
    <xf numFmtId="0" fontId="0" fillId="0" borderId="8" xfId="0" applyBorder="1">
      <alignment vertical="center"/>
    </xf>
    <xf numFmtId="0" fontId="0" fillId="0" borderId="9" xfId="0" applyBorder="1">
      <alignment vertical="center"/>
    </xf>
    <xf numFmtId="0" fontId="0" fillId="3" borderId="6" xfId="0" applyFill="1" applyBorder="1">
      <alignment vertical="center"/>
    </xf>
    <xf numFmtId="0" fontId="0" fillId="3" borderId="7" xfId="0" applyFill="1" applyBorder="1" applyAlignment="1">
      <alignment horizontal="center" vertical="center"/>
    </xf>
    <xf numFmtId="0" fontId="0" fillId="3" borderId="7" xfId="0" applyFill="1" applyBorder="1">
      <alignment vertical="center"/>
    </xf>
    <xf numFmtId="176" fontId="0" fillId="3" borderId="7" xfId="0" applyNumberFormat="1" applyFill="1" applyBorder="1">
      <alignment vertical="center"/>
    </xf>
    <xf numFmtId="177" fontId="0" fillId="3" borderId="7" xfId="0" applyNumberFormat="1" applyFill="1" applyBorder="1">
      <alignment vertical="center"/>
    </xf>
    <xf numFmtId="0" fontId="0" fillId="3" borderId="10" xfId="0" applyFill="1" applyBorder="1">
      <alignment vertical="center"/>
    </xf>
    <xf numFmtId="177" fontId="0" fillId="0" borderId="0" xfId="0" applyNumberFormat="1">
      <alignment vertical="center"/>
    </xf>
    <xf numFmtId="0" fontId="0" fillId="0" borderId="1" xfId="0" applyBorder="1" applyAlignment="1">
      <alignment horizontal="center" vertical="center"/>
    </xf>
    <xf numFmtId="181" fontId="0" fillId="0" borderId="0" xfId="0" applyNumberFormat="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cellXfs>
  <cellStyles count="2">
    <cellStyle name="標準" xfId="0" builtinId="0"/>
    <cellStyle name="標準 2" xfId="1" xr:uid="{6C55B18A-A73A-4975-95C7-BD7C38290D6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6</xdr:col>
      <xdr:colOff>297180</xdr:colOff>
      <xdr:row>10</xdr:row>
      <xdr:rowOff>0</xdr:rowOff>
    </xdr:from>
    <xdr:ext cx="1526572" cy="558102"/>
    <xdr:sp macro="" textlink="">
      <xdr:nvSpPr>
        <xdr:cNvPr id="2" name="テキスト ボックス 1">
          <a:extLst>
            <a:ext uri="{FF2B5EF4-FFF2-40B4-BE49-F238E27FC236}">
              <a16:creationId xmlns:a16="http://schemas.microsoft.com/office/drawing/2014/main" id="{EE3A47E7-BC84-4AEE-8BD8-E9CB2B626033}"/>
            </a:ext>
          </a:extLst>
        </xdr:cNvPr>
        <xdr:cNvSpPr txBox="1"/>
      </xdr:nvSpPr>
      <xdr:spPr>
        <a:xfrm>
          <a:off x="5280660" y="1600200"/>
          <a:ext cx="1526572" cy="558102"/>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D10</a:t>
          </a:r>
          <a:r>
            <a:rPr kumimoji="1" lang="ja-JP" altLang="en-US" sz="1100">
              <a:latin typeface="Meiryo UI" panose="020B0604030504040204" pitchFamily="50" charset="-128"/>
              <a:ea typeface="Meiryo UI" panose="020B0604030504040204" pitchFamily="50" charset="-128"/>
            </a:rPr>
            <a:t>が</a:t>
          </a:r>
          <a:r>
            <a:rPr kumimoji="1" lang="en-US" altLang="ja-JP" sz="1100">
              <a:latin typeface="Meiryo UI" panose="020B0604030504040204" pitchFamily="50" charset="-128"/>
              <a:ea typeface="Meiryo UI" panose="020B0604030504040204" pitchFamily="50" charset="-128"/>
            </a:rPr>
            <a:t>1.0</a:t>
          </a:r>
          <a:r>
            <a:rPr kumimoji="1" lang="ja-JP" altLang="en-US" sz="1100">
              <a:latin typeface="Meiryo UI" panose="020B0604030504040204" pitchFamily="50" charset="-128"/>
              <a:ea typeface="Meiryo UI" panose="020B0604030504040204" pitchFamily="50" charset="-128"/>
            </a:rPr>
            <a:t>となるように</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H2</a:t>
          </a:r>
          <a:r>
            <a:rPr kumimoji="1" lang="ja-JP" altLang="en-US" sz="1100">
              <a:latin typeface="Meiryo UI" panose="020B0604030504040204" pitchFamily="50" charset="-128"/>
              <a:ea typeface="Meiryo UI" panose="020B0604030504040204" pitchFamily="50" charset="-128"/>
            </a:rPr>
            <a:t>を収束計算で求める</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DA0E0-71F3-430C-BDDD-8C5D3206CC19}">
  <sheetPr codeName="Sheet1"/>
  <dimension ref="A1:H10"/>
  <sheetViews>
    <sheetView showGridLines="0" tabSelected="1" workbookViewId="0">
      <selection activeCell="D10" sqref="D10"/>
    </sheetView>
  </sheetViews>
  <sheetFormatPr defaultColWidth="8.75" defaultRowHeight="12" x14ac:dyDescent="0.4"/>
  <cols>
    <col min="1" max="1" width="19" style="7" bestFit="1" customWidth="1"/>
    <col min="2" max="2" width="6.375" style="7" bestFit="1" customWidth="1"/>
    <col min="3" max="3" width="5.875" style="7" bestFit="1" customWidth="1"/>
    <col min="4" max="4" width="13.25" style="7" customWidth="1"/>
    <col min="5" max="5" width="8.75" style="7"/>
    <col min="6" max="6" width="12.875" style="7" customWidth="1"/>
    <col min="7" max="16384" width="8.75" style="7"/>
  </cols>
  <sheetData>
    <row r="1" spans="1:8" x14ac:dyDescent="0.4">
      <c r="A1" s="6"/>
      <c r="B1" s="6"/>
      <c r="C1" s="6"/>
      <c r="D1" s="6"/>
      <c r="E1" s="6"/>
      <c r="F1" s="6" t="s">
        <v>4</v>
      </c>
    </row>
    <row r="2" spans="1:8" ht="24" x14ac:dyDescent="0.4">
      <c r="A2" s="6"/>
      <c r="B2" s="6" t="s">
        <v>5</v>
      </c>
      <c r="C2" s="6" t="s">
        <v>6</v>
      </c>
      <c r="D2" s="8" t="s">
        <v>7</v>
      </c>
      <c r="E2" s="6" t="s">
        <v>8</v>
      </c>
      <c r="F2" s="8" t="s">
        <v>9</v>
      </c>
      <c r="G2" s="6" t="s">
        <v>10</v>
      </c>
      <c r="H2" s="9">
        <v>1.2196915077271182</v>
      </c>
    </row>
    <row r="3" spans="1:8" x14ac:dyDescent="0.4">
      <c r="A3" s="6" t="str">
        <f>正解値!$B33</f>
        <v>壁</v>
      </c>
      <c r="B3" s="10">
        <v>5</v>
      </c>
      <c r="C3" s="11">
        <f t="shared" ref="C3:C8" si="0">B3/$B$10</f>
        <v>4.5454545454545456E-2</v>
      </c>
      <c r="D3" s="12">
        <f t="shared" ref="D3:D7" si="1">0.5*(1-SIGN(1-4*C3/$H$2)*SQRT(ABS(1-4*C3/$H$2)))</f>
        <v>3.8770390838980984E-2</v>
      </c>
      <c r="E3" s="6">
        <f>正解値!$F33</f>
        <v>0.9</v>
      </c>
      <c r="F3" s="12">
        <f t="shared" ref="F3:F7" si="2">E3/(1-E3*D3)*4*0.0000000567*($H$3+273.15)^3</f>
        <v>5.3281930032392006</v>
      </c>
      <c r="G3" s="6" t="s">
        <v>11</v>
      </c>
      <c r="H3" s="6">
        <v>20</v>
      </c>
    </row>
    <row r="4" spans="1:8" x14ac:dyDescent="0.4">
      <c r="A4" s="6" t="str">
        <f>正解値!$B34</f>
        <v>壁</v>
      </c>
      <c r="B4" s="10">
        <v>15</v>
      </c>
      <c r="C4" s="11">
        <f t="shared" si="0"/>
        <v>0.13636363636363635</v>
      </c>
      <c r="D4" s="12">
        <f t="shared" si="1"/>
        <v>0.12824973826441088</v>
      </c>
      <c r="E4" s="6">
        <f>正解値!$F34</f>
        <v>0.9</v>
      </c>
      <c r="F4" s="12">
        <f t="shared" si="2"/>
        <v>5.8132697862505394</v>
      </c>
    </row>
    <row r="5" spans="1:8" x14ac:dyDescent="0.4">
      <c r="A5" s="6" t="str">
        <f>正解値!$B35</f>
        <v>壁</v>
      </c>
      <c r="B5" s="10">
        <v>15</v>
      </c>
      <c r="C5" s="11">
        <f t="shared" si="0"/>
        <v>0.13636363636363635</v>
      </c>
      <c r="D5" s="12">
        <f t="shared" si="1"/>
        <v>0.12824973826441088</v>
      </c>
      <c r="E5" s="6">
        <f>正解値!$F35</f>
        <v>0.9</v>
      </c>
      <c r="F5" s="12">
        <f t="shared" si="2"/>
        <v>5.8132697862505394</v>
      </c>
    </row>
    <row r="6" spans="1:8" x14ac:dyDescent="0.4">
      <c r="A6" s="29" t="s">
        <v>74</v>
      </c>
      <c r="B6" s="10">
        <v>25</v>
      </c>
      <c r="C6" s="11">
        <f t="shared" si="0"/>
        <v>0.22727272727272727</v>
      </c>
      <c r="D6" s="12">
        <f t="shared" si="1"/>
        <v>0.24768321135102461</v>
      </c>
      <c r="E6" s="6">
        <f>正解値!$F39</f>
        <v>0.9</v>
      </c>
      <c r="F6" s="12">
        <f t="shared" si="2"/>
        <v>6.6173890424783002</v>
      </c>
    </row>
    <row r="7" spans="1:8" x14ac:dyDescent="0.4">
      <c r="A7" s="29" t="s">
        <v>75</v>
      </c>
      <c r="B7" s="10">
        <v>25</v>
      </c>
      <c r="C7" s="11">
        <f t="shared" si="0"/>
        <v>0.22727272727272727</v>
      </c>
      <c r="D7" s="12">
        <f t="shared" si="1"/>
        <v>0.24768321135102461</v>
      </c>
      <c r="E7" s="6">
        <f>正解値!$F36</f>
        <v>0.9</v>
      </c>
      <c r="F7" s="12">
        <f t="shared" si="2"/>
        <v>6.6173890424783002</v>
      </c>
    </row>
    <row r="8" spans="1:8" x14ac:dyDescent="0.4">
      <c r="A8" s="18" t="s">
        <v>13</v>
      </c>
      <c r="B8" s="10">
        <v>10</v>
      </c>
      <c r="C8" s="11">
        <f t="shared" si="0"/>
        <v>9.0909090909090912E-2</v>
      </c>
      <c r="D8" s="12">
        <f>0.5*(1-SIGN(1-4*C8/$H$2)*SQRT(ABS(1-4*C8/$H$2)))</f>
        <v>8.1113971665737361E-2</v>
      </c>
      <c r="E8" s="6">
        <f>正解値!$F38</f>
        <v>0.9</v>
      </c>
      <c r="F8" s="12">
        <f>E8/(1-E8*D8)*4*0.0000000567*($H$3+273.15)^3</f>
        <v>5.5472370786574139</v>
      </c>
    </row>
    <row r="9" spans="1:8" x14ac:dyDescent="0.4">
      <c r="A9" s="18" t="s">
        <v>14</v>
      </c>
      <c r="B9" s="10">
        <v>15</v>
      </c>
      <c r="C9" s="11">
        <f t="shared" ref="C9" si="3">B9/$B$10</f>
        <v>0.13636363636363635</v>
      </c>
      <c r="D9" s="12">
        <f t="shared" ref="D9" si="4">0.5*(1-SIGN(1-4*C9/$H$2)*SQRT(ABS(1-4*C9/$H$2)))</f>
        <v>0.12824973826441088</v>
      </c>
      <c r="E9" s="6">
        <f>正解値!$F39</f>
        <v>0.9</v>
      </c>
      <c r="F9" s="12">
        <f t="shared" ref="F9" si="5">E9/(1-E9*D9)*4*0.0000000567*($H$3+273.15)^3</f>
        <v>5.8132697862505394</v>
      </c>
    </row>
    <row r="10" spans="1:8" x14ac:dyDescent="0.4">
      <c r="A10" s="6" t="s">
        <v>12</v>
      </c>
      <c r="B10" s="10">
        <f>SUM(B3:B9)</f>
        <v>110</v>
      </c>
      <c r="C10" s="6"/>
      <c r="D10" s="13">
        <f>SUM(D3:D9)</f>
        <v>1.0000000000000004</v>
      </c>
      <c r="E10" s="6"/>
      <c r="F10" s="6"/>
    </row>
  </sheetData>
  <phoneticPr fontId="3"/>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416CE-EF7A-442F-A723-10341F25AD0E}">
  <sheetPr codeName="Sheet2"/>
  <dimension ref="A1:U64"/>
  <sheetViews>
    <sheetView showGridLines="0" topLeftCell="A22" zoomScale="90" zoomScaleNormal="90" workbookViewId="0">
      <pane xSplit="2" topLeftCell="J1" activePane="topRight" state="frozen"/>
      <selection pane="topRight" activeCell="U40" sqref="U40"/>
    </sheetView>
  </sheetViews>
  <sheetFormatPr defaultRowHeight="18.75" x14ac:dyDescent="0.4"/>
  <cols>
    <col min="2" max="2" width="9" bestFit="1" customWidth="1"/>
    <col min="3" max="3" width="13" bestFit="1" customWidth="1"/>
    <col min="4" max="4" width="11" bestFit="1" customWidth="1"/>
    <col min="5" max="5" width="20" bestFit="1" customWidth="1"/>
    <col min="6" max="6" width="7.125" bestFit="1" customWidth="1"/>
    <col min="7" max="8" width="13" bestFit="1" customWidth="1"/>
    <col min="9" max="10" width="21.375" bestFit="1" customWidth="1"/>
    <col min="11" max="12" width="12.75" bestFit="1" customWidth="1"/>
    <col min="13" max="13" width="21.375" bestFit="1" customWidth="1"/>
    <col min="14" max="14" width="15.5" bestFit="1" customWidth="1"/>
    <col min="15" max="15" width="11.125" bestFit="1" customWidth="1"/>
    <col min="16" max="17" width="17.25" bestFit="1" customWidth="1"/>
    <col min="18" max="18" width="17.25" customWidth="1"/>
    <col min="19" max="19" width="17.625" bestFit="1" customWidth="1"/>
    <col min="20" max="20" width="21.25" bestFit="1" customWidth="1"/>
    <col min="21" max="21" width="25.375" bestFit="1" customWidth="1"/>
    <col min="22" max="22" width="16.25" bestFit="1" customWidth="1"/>
    <col min="23" max="23" width="21.375" bestFit="1" customWidth="1"/>
    <col min="24" max="24" width="25.5" bestFit="1" customWidth="1"/>
    <col min="25" max="25" width="14.125" customWidth="1"/>
  </cols>
  <sheetData>
    <row r="1" spans="1:1" x14ac:dyDescent="0.4">
      <c r="A1" t="s">
        <v>18</v>
      </c>
    </row>
    <row r="2" spans="1:1" x14ac:dyDescent="0.4">
      <c r="A2" t="s">
        <v>19</v>
      </c>
    </row>
    <row r="3" spans="1:1" x14ac:dyDescent="0.4">
      <c r="A3" t="s">
        <v>20</v>
      </c>
    </row>
    <row r="4" spans="1:1" x14ac:dyDescent="0.4">
      <c r="A4" t="s">
        <v>21</v>
      </c>
    </row>
    <row r="6" spans="1:1" x14ac:dyDescent="0.4">
      <c r="A6" t="s">
        <v>22</v>
      </c>
    </row>
    <row r="7" spans="1:1" x14ac:dyDescent="0.4">
      <c r="A7" t="s">
        <v>23</v>
      </c>
    </row>
    <row r="8" spans="1:1" x14ac:dyDescent="0.4">
      <c r="A8" t="s">
        <v>24</v>
      </c>
    </row>
    <row r="9" spans="1:1" x14ac:dyDescent="0.4">
      <c r="A9" t="s">
        <v>25</v>
      </c>
    </row>
    <row r="10" spans="1:1" x14ac:dyDescent="0.4">
      <c r="A10" t="s">
        <v>26</v>
      </c>
    </row>
    <row r="11" spans="1:1" x14ac:dyDescent="0.4">
      <c r="A11" t="s">
        <v>27</v>
      </c>
    </row>
    <row r="12" spans="1:1" x14ac:dyDescent="0.4">
      <c r="A12" t="s">
        <v>28</v>
      </c>
    </row>
    <row r="13" spans="1:1" x14ac:dyDescent="0.4">
      <c r="A13" t="s">
        <v>29</v>
      </c>
    </row>
    <row r="15" spans="1:1" x14ac:dyDescent="0.4">
      <c r="A15" t="s">
        <v>30</v>
      </c>
    </row>
    <row r="16" spans="1:1" x14ac:dyDescent="0.4">
      <c r="A16" t="s">
        <v>31</v>
      </c>
    </row>
    <row r="18" spans="1:21" x14ac:dyDescent="0.4">
      <c r="A18" s="41" t="s">
        <v>32</v>
      </c>
      <c r="B18" s="41"/>
      <c r="C18" s="41"/>
      <c r="D18" s="16"/>
      <c r="E18" s="16" t="s">
        <v>33</v>
      </c>
      <c r="F18" s="16" t="s">
        <v>34</v>
      </c>
      <c r="G18" s="16" t="s">
        <v>35</v>
      </c>
    </row>
    <row r="19" spans="1:21" x14ac:dyDescent="0.4">
      <c r="A19" s="39" t="s">
        <v>36</v>
      </c>
      <c r="B19" s="16" t="s">
        <v>37</v>
      </c>
      <c r="C19" s="1" t="s">
        <v>38</v>
      </c>
      <c r="D19" s="1"/>
      <c r="E19" s="1">
        <v>0</v>
      </c>
      <c r="F19" s="16" t="s">
        <v>0</v>
      </c>
      <c r="G19" s="1"/>
    </row>
    <row r="20" spans="1:21" x14ac:dyDescent="0.4">
      <c r="A20" s="39"/>
      <c r="B20" s="39" t="s">
        <v>39</v>
      </c>
      <c r="C20" s="1" t="s">
        <v>40</v>
      </c>
      <c r="D20" s="1"/>
      <c r="E20" s="1">
        <f>SUMPRODUCT(D33:D38,E33:E38,M33:M38)+SUMPRODUCT(D40:D45,E40:E45,M40:M45)</f>
        <v>88.051129328248606</v>
      </c>
      <c r="F20" s="16" t="s">
        <v>41</v>
      </c>
      <c r="G20" s="1" t="s">
        <v>72</v>
      </c>
      <c r="I20" t="s">
        <v>73</v>
      </c>
    </row>
    <row r="21" spans="1:21" x14ac:dyDescent="0.4">
      <c r="A21" s="39"/>
      <c r="B21" s="42" t="s">
        <v>66</v>
      </c>
      <c r="C21" s="1" t="s">
        <v>42</v>
      </c>
      <c r="D21" s="1"/>
      <c r="E21" s="1">
        <v>1000</v>
      </c>
      <c r="F21" s="16" t="s">
        <v>43</v>
      </c>
      <c r="G21" s="1"/>
      <c r="I21">
        <f>E19+E21/E20</f>
        <v>11.357037753281599</v>
      </c>
    </row>
    <row r="22" spans="1:21" x14ac:dyDescent="0.4">
      <c r="A22" s="41" t="s">
        <v>44</v>
      </c>
      <c r="B22" s="43"/>
      <c r="C22" s="1" t="s">
        <v>45</v>
      </c>
      <c r="D22" s="1"/>
      <c r="E22" s="1">
        <f ca="1">SUMPRODUCT(E33:E39,P33:P39)</f>
        <v>999.99999999999113</v>
      </c>
      <c r="F22" s="16" t="s">
        <v>43</v>
      </c>
      <c r="G22" s="1"/>
    </row>
    <row r="23" spans="1:21" x14ac:dyDescent="0.4">
      <c r="A23" s="41"/>
      <c r="B23" s="43"/>
      <c r="C23" s="1" t="s">
        <v>46</v>
      </c>
      <c r="D23" s="1"/>
      <c r="E23" s="4">
        <f ca="1">$E$23+($E$21-$E$22)/10000</f>
        <v>13.403464558874175</v>
      </c>
      <c r="F23" s="16" t="s">
        <v>0</v>
      </c>
      <c r="G23" s="1"/>
    </row>
    <row r="24" spans="1:21" x14ac:dyDescent="0.4">
      <c r="A24" s="41"/>
      <c r="B24" s="44"/>
      <c r="C24" s="1" t="s">
        <v>47</v>
      </c>
      <c r="D24" s="1"/>
      <c r="E24" s="1">
        <f ca="1">SUMPRODUCT($G$33:$G$39,$E$33:$E$39,$N$33:$N$39)/SUMPRODUCT($G$33:$G$39,$E$33:$E$39)</f>
        <v>9.7542423348740197</v>
      </c>
      <c r="F24" s="16" t="s">
        <v>0</v>
      </c>
      <c r="G24" s="1"/>
    </row>
    <row r="25" spans="1:21" x14ac:dyDescent="0.4">
      <c r="A25" s="41"/>
      <c r="B25" s="42" t="s">
        <v>69</v>
      </c>
      <c r="C25" s="1" t="s">
        <v>42</v>
      </c>
      <c r="D25" s="1"/>
      <c r="E25" s="1">
        <v>100</v>
      </c>
      <c r="F25" s="39" t="s">
        <v>43</v>
      </c>
      <c r="G25" s="1"/>
    </row>
    <row r="26" spans="1:21" x14ac:dyDescent="0.4">
      <c r="A26" s="41"/>
      <c r="B26" s="43"/>
      <c r="C26" s="1" t="s">
        <v>45</v>
      </c>
      <c r="D26" s="1"/>
      <c r="E26" s="1">
        <f ca="1">SUMPRODUCT(E40:E46,P40:P46)</f>
        <v>99.999999999995779</v>
      </c>
      <c r="F26" s="16" t="s">
        <v>43</v>
      </c>
      <c r="G26" s="1"/>
    </row>
    <row r="27" spans="1:21" x14ac:dyDescent="0.4">
      <c r="A27" s="41"/>
      <c r="B27" s="43"/>
      <c r="C27" s="1" t="s">
        <v>46</v>
      </c>
      <c r="D27" s="1"/>
      <c r="E27" s="4">
        <f ca="1">$E$27+(E25-$E$26)/10000</f>
        <v>4.8086321691967209</v>
      </c>
      <c r="F27" s="16" t="s">
        <v>0</v>
      </c>
      <c r="G27" s="1"/>
    </row>
    <row r="28" spans="1:21" x14ac:dyDescent="0.4">
      <c r="A28" s="41"/>
      <c r="B28" s="44"/>
      <c r="C28" s="1" t="s">
        <v>47</v>
      </c>
      <c r="D28" s="1"/>
      <c r="E28" s="1">
        <f ca="1">SUMPRODUCT($G$40:$G$46,$E$40:$E$46,$N$40:$N$46)/SUMPRODUCT($G$40:$G$46,$E$40:$E$46)</f>
        <v>4.4419336472932009</v>
      </c>
      <c r="F28" s="16" t="s">
        <v>0</v>
      </c>
      <c r="G28" s="1"/>
    </row>
    <row r="31" spans="1:21" x14ac:dyDescent="0.4">
      <c r="A31" s="1"/>
      <c r="B31" s="1"/>
      <c r="C31" s="2" t="s">
        <v>48</v>
      </c>
      <c r="D31" s="2" t="s">
        <v>49</v>
      </c>
      <c r="E31" s="14" t="s">
        <v>50</v>
      </c>
      <c r="F31" s="14" t="s">
        <v>51</v>
      </c>
      <c r="G31" s="14" t="s">
        <v>52</v>
      </c>
      <c r="H31" s="14" t="s">
        <v>53</v>
      </c>
      <c r="I31" s="14" t="s">
        <v>54</v>
      </c>
      <c r="J31" s="14" t="s">
        <v>55</v>
      </c>
      <c r="K31" s="14" t="s">
        <v>56</v>
      </c>
      <c r="L31" s="14" t="s">
        <v>70</v>
      </c>
      <c r="M31" s="28" t="s">
        <v>77</v>
      </c>
      <c r="N31" s="14" t="s">
        <v>57</v>
      </c>
      <c r="O31" s="14" t="s">
        <v>71</v>
      </c>
      <c r="P31" s="14" t="s">
        <v>58</v>
      </c>
      <c r="Q31" s="14" t="s">
        <v>59</v>
      </c>
      <c r="R31" s="16" t="s">
        <v>59</v>
      </c>
      <c r="S31" s="14" t="s">
        <v>60</v>
      </c>
      <c r="T31" s="2" t="s">
        <v>61</v>
      </c>
      <c r="U31" s="2" t="s">
        <v>62</v>
      </c>
    </row>
    <row r="32" spans="1:21" ht="19.5" thickBot="1" x14ac:dyDescent="0.45">
      <c r="A32" s="19"/>
      <c r="B32" s="19"/>
      <c r="C32" s="15" t="s">
        <v>0</v>
      </c>
      <c r="D32" s="15" t="s">
        <v>63</v>
      </c>
      <c r="E32" s="15" t="s">
        <v>3</v>
      </c>
      <c r="F32" s="15" t="s">
        <v>64</v>
      </c>
      <c r="G32" s="15" t="s">
        <v>2</v>
      </c>
      <c r="H32" s="15" t="s">
        <v>2</v>
      </c>
      <c r="I32" s="15" t="s">
        <v>1</v>
      </c>
      <c r="J32" s="15" t="s">
        <v>1</v>
      </c>
      <c r="K32" s="15" t="s">
        <v>1</v>
      </c>
      <c r="L32" s="15" t="s">
        <v>2</v>
      </c>
      <c r="M32" s="17" t="s">
        <v>2</v>
      </c>
      <c r="N32" s="20" t="s">
        <v>0</v>
      </c>
      <c r="O32" s="15" t="s">
        <v>0</v>
      </c>
      <c r="P32" s="15" t="s">
        <v>65</v>
      </c>
      <c r="Q32" s="15" t="s">
        <v>65</v>
      </c>
      <c r="R32" s="17" t="s">
        <v>43</v>
      </c>
      <c r="S32" s="15" t="s">
        <v>65</v>
      </c>
      <c r="T32" s="19"/>
      <c r="U32" s="20" t="s">
        <v>0</v>
      </c>
    </row>
    <row r="33" spans="1:21" x14ac:dyDescent="0.4">
      <c r="A33" s="21" t="s">
        <v>66</v>
      </c>
      <c r="B33" s="22" t="s">
        <v>15</v>
      </c>
      <c r="C33" s="23">
        <f>$E$19</f>
        <v>0</v>
      </c>
      <c r="D33" s="23">
        <v>1</v>
      </c>
      <c r="E33" s="23">
        <v>5</v>
      </c>
      <c r="F33" s="23">
        <v>0.9</v>
      </c>
      <c r="G33" s="23">
        <f>熱伝達率!F3</f>
        <v>5.3281930032392006</v>
      </c>
      <c r="H33" s="23">
        <v>2.5</v>
      </c>
      <c r="I33" s="23">
        <f t="shared" ref="I33:I44" si="0">1/SUM(G33:H33)</f>
        <v>0.12774340126593883</v>
      </c>
      <c r="J33" s="23">
        <v>0.04</v>
      </c>
      <c r="K33" s="23">
        <v>2.8527777777777801</v>
      </c>
      <c r="L33" s="23">
        <f t="shared" ref="L33:L44" si="1">1/(I33+$K33+$J33)</f>
        <v>0.33106869335595746</v>
      </c>
      <c r="M33" s="23">
        <f t="shared" ref="M33:M46" si="2">1/(1/H33+J33+K33)</f>
        <v>0.30369495528935359</v>
      </c>
      <c r="N33" s="24">
        <f t="shared" ref="N33:N46" ca="1" si="3">O33-I33/SUM(I33:K33)*D33*(O33-C33)</f>
        <v>10.457840276134407</v>
      </c>
      <c r="O33" s="23">
        <f t="shared" ref="O33:O39" ca="1" si="4">($E$23*$H33+$E$24*$G33)/SUM($H33,$G33)</f>
        <v>10.919652482046603</v>
      </c>
      <c r="P33" s="23">
        <f t="shared" ref="P33:P39" ca="1" si="5">($E$23-$N33)*$H33</f>
        <v>7.3640607068494202</v>
      </c>
      <c r="Q33" s="23">
        <f t="shared" ref="Q33:Q39" ca="1" si="6">($E$24-$N33)*$G33</f>
        <v>-3.7489056277171011</v>
      </c>
      <c r="R33" s="23">
        <f t="shared" ref="R33:R44" ca="1" si="7">Q33*E33</f>
        <v>-18.744528138585505</v>
      </c>
      <c r="S33" s="25">
        <f t="shared" ref="S33:S44" ca="1" si="8">SUM($P33,$Q33)</f>
        <v>3.615155079132319</v>
      </c>
      <c r="T33" s="23">
        <f t="shared" ref="T33:T35" si="9">(1-$T$36)*E33/SUM($E$33:$E$35,$E$37:$E$39)</f>
        <v>3.2352941176470591E-2</v>
      </c>
      <c r="U33" s="30">
        <f ca="1">SUMPRODUCT(N33:N39,T33:T39)</f>
        <v>9.6899704969169758</v>
      </c>
    </row>
    <row r="34" spans="1:21" x14ac:dyDescent="0.4">
      <c r="A34" s="26"/>
      <c r="B34" s="28" t="s">
        <v>15</v>
      </c>
      <c r="C34" s="1">
        <f>$E$19</f>
        <v>0</v>
      </c>
      <c r="D34" s="1">
        <v>1</v>
      </c>
      <c r="E34" s="1">
        <v>15</v>
      </c>
      <c r="F34" s="1">
        <v>0.9</v>
      </c>
      <c r="G34" s="1">
        <f>熱伝達率!F4</f>
        <v>5.8132697862505394</v>
      </c>
      <c r="H34" s="1">
        <v>2.5</v>
      </c>
      <c r="I34" s="1">
        <f t="shared" si="0"/>
        <v>0.12028961235612938</v>
      </c>
      <c r="J34" s="1">
        <v>0.04</v>
      </c>
      <c r="K34" s="1">
        <v>2.8527777777777801</v>
      </c>
      <c r="L34" s="1">
        <f t="shared" si="1"/>
        <v>0.33188769798990692</v>
      </c>
      <c r="M34" s="1">
        <f t="shared" si="2"/>
        <v>0.30369495528935359</v>
      </c>
      <c r="N34" s="5">
        <f t="shared" ca="1" si="3"/>
        <v>10.418424561825038</v>
      </c>
      <c r="O34" s="1">
        <f t="shared" ca="1" si="4"/>
        <v>10.851651151689897</v>
      </c>
      <c r="P34" s="1">
        <f t="shared" ca="1" si="5"/>
        <v>7.4625999926228426</v>
      </c>
      <c r="Q34" s="1">
        <f t="shared" ca="1" si="6"/>
        <v>-3.8610704724989531</v>
      </c>
      <c r="R34" s="1">
        <f t="shared" ca="1" si="7"/>
        <v>-57.916057087484297</v>
      </c>
      <c r="S34" s="3">
        <f t="shared" ca="1" si="8"/>
        <v>3.6015295201238895</v>
      </c>
      <c r="T34" s="1">
        <f t="shared" si="9"/>
        <v>9.7058823529411767E-2</v>
      </c>
      <c r="U34" s="31"/>
    </row>
    <row r="35" spans="1:21" x14ac:dyDescent="0.4">
      <c r="A35" s="26"/>
      <c r="B35" s="28" t="s">
        <v>15</v>
      </c>
      <c r="C35" s="1">
        <f>$E$19</f>
        <v>0</v>
      </c>
      <c r="D35" s="1">
        <v>1</v>
      </c>
      <c r="E35" s="1">
        <v>15</v>
      </c>
      <c r="F35" s="1">
        <v>0.9</v>
      </c>
      <c r="G35" s="1">
        <f>熱伝達率!F5</f>
        <v>5.8132697862505394</v>
      </c>
      <c r="H35" s="1">
        <v>2.5</v>
      </c>
      <c r="I35" s="1">
        <f t="shared" si="0"/>
        <v>0.12028961235612938</v>
      </c>
      <c r="J35" s="1">
        <v>0.04</v>
      </c>
      <c r="K35" s="1">
        <v>2.8527777777777801</v>
      </c>
      <c r="L35" s="1">
        <f t="shared" si="1"/>
        <v>0.33188769798990692</v>
      </c>
      <c r="M35" s="1">
        <f t="shared" si="2"/>
        <v>0.30369495528935359</v>
      </c>
      <c r="N35" s="5">
        <f t="shared" ca="1" si="3"/>
        <v>10.418424561825038</v>
      </c>
      <c r="O35" s="1">
        <f t="shared" ca="1" si="4"/>
        <v>10.851651151689897</v>
      </c>
      <c r="P35" s="1">
        <f t="shared" ca="1" si="5"/>
        <v>7.4625999926228426</v>
      </c>
      <c r="Q35" s="1">
        <f t="shared" ca="1" si="6"/>
        <v>-3.8610704724989531</v>
      </c>
      <c r="R35" s="1">
        <f t="shared" ca="1" si="7"/>
        <v>-57.916057087484297</v>
      </c>
      <c r="S35" s="3">
        <f t="shared" ca="1" si="8"/>
        <v>3.6015295201238895</v>
      </c>
      <c r="T35" s="1">
        <f t="shared" si="9"/>
        <v>9.7058823529411767E-2</v>
      </c>
      <c r="U35" s="31"/>
    </row>
    <row r="36" spans="1:21" x14ac:dyDescent="0.4">
      <c r="A36" s="26"/>
      <c r="B36" s="28" t="s">
        <v>16</v>
      </c>
      <c r="C36" s="1">
        <f t="shared" ref="C36:C45" si="10">$E$19</f>
        <v>0</v>
      </c>
      <c r="D36" s="1">
        <v>1</v>
      </c>
      <c r="E36" s="1">
        <v>25</v>
      </c>
      <c r="F36" s="1">
        <v>0.9</v>
      </c>
      <c r="G36" s="1">
        <f>熱伝達率!F6</f>
        <v>6.6173890424783002</v>
      </c>
      <c r="H36" s="1">
        <v>0.7</v>
      </c>
      <c r="I36" s="1">
        <f t="shared" si="0"/>
        <v>0.13666076713905506</v>
      </c>
      <c r="J36" s="1">
        <v>0.15</v>
      </c>
      <c r="K36" s="1">
        <v>2.8527777777777801</v>
      </c>
      <c r="L36" s="1">
        <f t="shared" si="1"/>
        <v>0.31852829277997236</v>
      </c>
      <c r="M36" s="1">
        <f t="shared" si="2"/>
        <v>0.22566490552520807</v>
      </c>
      <c r="N36" s="5">
        <f t="shared" ca="1" si="3"/>
        <v>9.663534724876417</v>
      </c>
      <c r="O36" s="1">
        <f t="shared" ca="1" si="4"/>
        <v>10.103336190888944</v>
      </c>
      <c r="P36" s="1">
        <f t="shared" ca="1" si="5"/>
        <v>2.6179508837984304</v>
      </c>
      <c r="Q36" s="1">
        <f t="shared" ca="1" si="6"/>
        <v>0.60024754446753148</v>
      </c>
      <c r="R36" s="1">
        <f t="shared" ca="1" si="7"/>
        <v>15.006188611688287</v>
      </c>
      <c r="S36" s="3">
        <f t="shared" ca="1" si="8"/>
        <v>3.2181984282659619</v>
      </c>
      <c r="T36" s="1">
        <v>0.45</v>
      </c>
      <c r="U36" s="31"/>
    </row>
    <row r="37" spans="1:21" x14ac:dyDescent="0.4">
      <c r="A37" s="26"/>
      <c r="B37" s="28" t="s">
        <v>17</v>
      </c>
      <c r="C37" s="1">
        <f t="shared" si="10"/>
        <v>0</v>
      </c>
      <c r="D37" s="1">
        <v>1</v>
      </c>
      <c r="E37" s="1">
        <v>25</v>
      </c>
      <c r="F37" s="1">
        <v>0.9</v>
      </c>
      <c r="G37" s="1">
        <f>熱伝達率!F7</f>
        <v>6.6173890424783002</v>
      </c>
      <c r="H37" s="1">
        <v>5</v>
      </c>
      <c r="I37" s="1">
        <f t="shared" si="0"/>
        <v>8.6077861070465889E-2</v>
      </c>
      <c r="J37" s="1">
        <v>0.09</v>
      </c>
      <c r="K37" s="1">
        <v>2.8527777777777801</v>
      </c>
      <c r="L37" s="1">
        <f t="shared" si="1"/>
        <v>0.33015769625133423</v>
      </c>
      <c r="M37" s="1">
        <f t="shared" si="2"/>
        <v>0.31818985327912297</v>
      </c>
      <c r="N37" s="5">
        <f t="shared" ca="1" si="3"/>
        <v>11.002985211735338</v>
      </c>
      <c r="O37" s="1">
        <f t="shared" ca="1" si="4"/>
        <v>11.324828552937728</v>
      </c>
      <c r="P37" s="1">
        <f t="shared" ca="1" si="5"/>
        <v>12.002396735694187</v>
      </c>
      <c r="Q37" s="1">
        <f t="shared" ca="1" si="6"/>
        <v>-8.263417430214913</v>
      </c>
      <c r="R37" s="1">
        <f t="shared" ca="1" si="7"/>
        <v>-206.58543575537283</v>
      </c>
      <c r="S37" s="3">
        <f t="shared" ca="1" si="8"/>
        <v>3.7389793054792744</v>
      </c>
      <c r="T37" s="1">
        <f t="shared" ref="T37:T39" si="11">(1-$T$36)*E37/SUM($E$33:$E$35,$E$37:$E$39)</f>
        <v>0.16176470588235295</v>
      </c>
      <c r="U37" s="31"/>
    </row>
    <row r="38" spans="1:21" x14ac:dyDescent="0.4">
      <c r="A38" s="26"/>
      <c r="B38" s="28" t="s">
        <v>67</v>
      </c>
      <c r="C38" s="1">
        <f>$E$19</f>
        <v>0</v>
      </c>
      <c r="D38" s="1">
        <v>1</v>
      </c>
      <c r="E38" s="1">
        <v>10</v>
      </c>
      <c r="F38" s="1">
        <v>0.9</v>
      </c>
      <c r="G38" s="1">
        <f>熱伝達率!F8</f>
        <v>5.5472370786574139</v>
      </c>
      <c r="H38" s="1">
        <v>2.5</v>
      </c>
      <c r="I38" s="1">
        <f>1/SUM(G38:H38)</f>
        <v>0.12426625315316771</v>
      </c>
      <c r="J38" s="1">
        <v>0.04</v>
      </c>
      <c r="K38" s="1">
        <f>1/4.65-0.11-0.04</f>
        <v>6.5053763440860196E-2</v>
      </c>
      <c r="L38" s="1">
        <f>1/(I38+$K38+$J38)</f>
        <v>4.3607183308831248</v>
      </c>
      <c r="M38" s="1">
        <f t="shared" si="2"/>
        <v>1.9799872258888653</v>
      </c>
      <c r="N38" s="5">
        <f t="shared" ca="1" si="3"/>
        <v>4.987868340404737</v>
      </c>
      <c r="O38" s="1">
        <f t="shared" ca="1" si="4"/>
        <v>10.887930266623441</v>
      </c>
      <c r="P38" s="1">
        <f t="shared" ca="1" si="5"/>
        <v>21.038990546173597</v>
      </c>
      <c r="Q38" s="1">
        <f t="shared" ca="1" si="6"/>
        <v>26.440206552868453</v>
      </c>
      <c r="R38" s="1">
        <f ca="1">Q38*E38</f>
        <v>264.40206552868455</v>
      </c>
      <c r="S38" s="3">
        <f ca="1">SUM($P38,$Q38)</f>
        <v>47.479197099042054</v>
      </c>
      <c r="T38" s="1">
        <f t="shared" si="11"/>
        <v>6.4705882352941183E-2</v>
      </c>
      <c r="U38" s="31"/>
    </row>
    <row r="39" spans="1:21" s="27" customFormat="1" ht="19.5" thickBot="1" x14ac:dyDescent="0.45">
      <c r="A39" s="32"/>
      <c r="B39" s="33" t="s">
        <v>68</v>
      </c>
      <c r="C39" s="34">
        <f ca="1">O46</f>
        <v>4.5522087049215498</v>
      </c>
      <c r="D39" s="34">
        <v>1</v>
      </c>
      <c r="E39" s="34">
        <v>15</v>
      </c>
      <c r="F39" s="34">
        <v>0.9</v>
      </c>
      <c r="G39" s="34">
        <f>熱伝達率!F9</f>
        <v>5.8132697862505394</v>
      </c>
      <c r="H39" s="34">
        <v>2.5</v>
      </c>
      <c r="I39" s="34">
        <f>1/SUM(G39:H39)</f>
        <v>0.12028961235612938</v>
      </c>
      <c r="J39" s="34">
        <f>I46</f>
        <v>0.12028961235612938</v>
      </c>
      <c r="K39" s="34">
        <v>0.179090909090909</v>
      </c>
      <c r="L39" s="34">
        <f>1/(I39+$K39+$J39)</f>
        <v>2.3828238405666879</v>
      </c>
      <c r="M39" s="34">
        <f t="shared" si="2"/>
        <v>1.4298367903226292</v>
      </c>
      <c r="N39" s="35">
        <f t="shared" ca="1" si="3"/>
        <v>9.0460485391939773</v>
      </c>
      <c r="O39" s="34">
        <f t="shared" ca="1" si="4"/>
        <v>10.851651151689897</v>
      </c>
      <c r="P39" s="34">
        <f t="shared" ca="1" si="5"/>
        <v>10.893540049200494</v>
      </c>
      <c r="Q39" s="34">
        <f t="shared" ca="1" si="6"/>
        <v>4.1169215952368781</v>
      </c>
      <c r="R39" s="34">
        <f ca="1">Q39*E39</f>
        <v>61.753823928553174</v>
      </c>
      <c r="S39" s="36">
        <f ca="1">SUM($P39,$Q39)</f>
        <v>15.010461644437372</v>
      </c>
      <c r="T39" s="34">
        <f t="shared" si="11"/>
        <v>9.7058823529411767E-2</v>
      </c>
      <c r="U39" s="37"/>
    </row>
    <row r="40" spans="1:21" x14ac:dyDescent="0.4">
      <c r="A40" s="21" t="s">
        <v>69</v>
      </c>
      <c r="B40" s="22" t="s">
        <v>15</v>
      </c>
      <c r="C40" s="23">
        <f t="shared" si="10"/>
        <v>0</v>
      </c>
      <c r="D40" s="23">
        <v>1</v>
      </c>
      <c r="E40" s="23">
        <v>5</v>
      </c>
      <c r="F40" s="23">
        <v>0.9</v>
      </c>
      <c r="G40" s="23">
        <f>熱伝達率!F3</f>
        <v>5.3281930032392006</v>
      </c>
      <c r="H40" s="23">
        <v>2.5</v>
      </c>
      <c r="I40" s="23">
        <f t="shared" si="0"/>
        <v>0.12774340126593883</v>
      </c>
      <c r="J40" s="23">
        <v>0.04</v>
      </c>
      <c r="K40" s="23">
        <v>2.8527777777777801</v>
      </c>
      <c r="L40" s="23">
        <f t="shared" si="1"/>
        <v>0.33106869335595746</v>
      </c>
      <c r="M40" s="23">
        <f t="shared" si="2"/>
        <v>0.30369495528935359</v>
      </c>
      <c r="N40" s="24">
        <f t="shared" ca="1" si="3"/>
        <v>4.3662316618561796</v>
      </c>
      <c r="O40" s="23">
        <f t="shared" ref="O40:O46" ca="1" si="12">($E$27*$H40+$E$28*$G40)/SUM($H40,$G40)</f>
        <v>4.5590419383610712</v>
      </c>
      <c r="P40" s="23">
        <f t="shared" ref="P40:P46" ca="1" si="13">($E$27-$N40)*$H40</f>
        <v>1.1060012683513532</v>
      </c>
      <c r="Q40" s="23">
        <f t="shared" ref="Q40:Q46" ca="1" si="14">($E$28-$N40)*$G40</f>
        <v>0.40335478913685296</v>
      </c>
      <c r="R40" s="23">
        <f t="shared" ca="1" si="7"/>
        <v>2.0167739456842648</v>
      </c>
      <c r="S40" s="25">
        <f t="shared" ca="1" si="8"/>
        <v>1.5093560574882061</v>
      </c>
      <c r="T40" s="23">
        <f t="shared" ref="T40:T42" si="15">(1-$T$43)*E40/SUM($E$40:$E$42,$E$44:$E$46)</f>
        <v>3.2352941176470591E-2</v>
      </c>
      <c r="U40" s="30">
        <f ca="1">SUMPRODUCT(N40:N46,T40:T46)</f>
        <v>4.3916637889891366</v>
      </c>
    </row>
    <row r="41" spans="1:21" x14ac:dyDescent="0.4">
      <c r="A41" s="26"/>
      <c r="B41" s="28" t="s">
        <v>15</v>
      </c>
      <c r="C41" s="1">
        <f t="shared" si="10"/>
        <v>0</v>
      </c>
      <c r="D41" s="1">
        <v>1</v>
      </c>
      <c r="E41" s="1">
        <v>15</v>
      </c>
      <c r="F41" s="1">
        <v>0.9</v>
      </c>
      <c r="G41" s="1">
        <f>熱伝達率!F4</f>
        <v>5.8132697862505394</v>
      </c>
      <c r="H41" s="1">
        <v>2.5</v>
      </c>
      <c r="I41" s="1">
        <f t="shared" si="0"/>
        <v>0.12028961235612938</v>
      </c>
      <c r="J41" s="1">
        <v>0.04</v>
      </c>
      <c r="K41" s="1">
        <v>2.8527777777777801</v>
      </c>
      <c r="L41" s="1">
        <f t="shared" si="1"/>
        <v>0.33188769798990692</v>
      </c>
      <c r="M41" s="1">
        <f t="shared" si="2"/>
        <v>0.30369495528935359</v>
      </c>
      <c r="N41" s="5">
        <f t="shared" ca="1" si="3"/>
        <v>4.3704725040412651</v>
      </c>
      <c r="O41" s="1">
        <f t="shared" ca="1" si="12"/>
        <v>4.5522087049215498</v>
      </c>
      <c r="P41" s="1">
        <f t="shared" ca="1" si="13"/>
        <v>1.0953991628886395</v>
      </c>
      <c r="Q41" s="1">
        <f t="shared" ca="1" si="14"/>
        <v>0.41542290495740036</v>
      </c>
      <c r="R41" s="1">
        <f t="shared" ca="1" si="7"/>
        <v>6.2313435743610057</v>
      </c>
      <c r="S41" s="3">
        <f t="shared" ca="1" si="8"/>
        <v>1.5108220678460398</v>
      </c>
      <c r="T41" s="1">
        <f t="shared" si="15"/>
        <v>9.7058823529411767E-2</v>
      </c>
      <c r="U41" s="31"/>
    </row>
    <row r="42" spans="1:21" x14ac:dyDescent="0.4">
      <c r="A42" s="26"/>
      <c r="B42" s="28" t="s">
        <v>15</v>
      </c>
      <c r="C42" s="1">
        <f t="shared" si="10"/>
        <v>0</v>
      </c>
      <c r="D42" s="1">
        <v>1</v>
      </c>
      <c r="E42" s="1">
        <v>15</v>
      </c>
      <c r="F42" s="1">
        <v>0.9</v>
      </c>
      <c r="G42" s="1">
        <f>熱伝達率!F5</f>
        <v>5.8132697862505394</v>
      </c>
      <c r="H42" s="1">
        <v>2.5</v>
      </c>
      <c r="I42" s="1">
        <f t="shared" si="0"/>
        <v>0.12028961235612938</v>
      </c>
      <c r="J42" s="1">
        <v>0.04</v>
      </c>
      <c r="K42" s="1">
        <v>2.8527777777777801</v>
      </c>
      <c r="L42" s="1">
        <f t="shared" si="1"/>
        <v>0.33188769798990692</v>
      </c>
      <c r="M42" s="1">
        <f t="shared" si="2"/>
        <v>0.30369495528935359</v>
      </c>
      <c r="N42" s="5">
        <f t="shared" ca="1" si="3"/>
        <v>4.3704725040412651</v>
      </c>
      <c r="O42" s="1">
        <f t="shared" ca="1" si="12"/>
        <v>4.5522087049215498</v>
      </c>
      <c r="P42" s="1">
        <f t="shared" ca="1" si="13"/>
        <v>1.0953991628886395</v>
      </c>
      <c r="Q42" s="1">
        <f t="shared" ca="1" si="14"/>
        <v>0.41542290495740036</v>
      </c>
      <c r="R42" s="1">
        <f t="shared" ca="1" si="7"/>
        <v>6.2313435743610057</v>
      </c>
      <c r="S42" s="3">
        <f t="shared" ca="1" si="8"/>
        <v>1.5108220678460398</v>
      </c>
      <c r="T42" s="1">
        <f t="shared" si="15"/>
        <v>9.7058823529411767E-2</v>
      </c>
      <c r="U42" s="31"/>
    </row>
    <row r="43" spans="1:21" x14ac:dyDescent="0.4">
      <c r="A43" s="26"/>
      <c r="B43" s="28" t="s">
        <v>16</v>
      </c>
      <c r="C43" s="1">
        <f>$E$19</f>
        <v>0</v>
      </c>
      <c r="D43" s="1">
        <v>1</v>
      </c>
      <c r="E43" s="1">
        <v>25</v>
      </c>
      <c r="F43" s="1">
        <v>0.9</v>
      </c>
      <c r="G43" s="1">
        <f>熱伝達率!F6</f>
        <v>6.6173890424783002</v>
      </c>
      <c r="H43" s="1">
        <v>0.7</v>
      </c>
      <c r="I43" s="1">
        <f t="shared" si="0"/>
        <v>0.13666076713905506</v>
      </c>
      <c r="J43" s="1">
        <v>0.15</v>
      </c>
      <c r="K43" s="1">
        <v>2.8527777777777801</v>
      </c>
      <c r="L43" s="1">
        <f t="shared" si="1"/>
        <v>0.31852829277997236</v>
      </c>
      <c r="M43" s="1">
        <f t="shared" si="2"/>
        <v>0.22566490552520807</v>
      </c>
      <c r="N43" s="5">
        <f t="shared" ca="1" si="3"/>
        <v>4.2821271477054097</v>
      </c>
      <c r="O43" s="1">
        <f t="shared" ca="1" si="12"/>
        <v>4.4770129582116649</v>
      </c>
      <c r="P43" s="1">
        <f t="shared" ca="1" si="13"/>
        <v>0.36855351504391781</v>
      </c>
      <c r="Q43" s="1">
        <f t="shared" ca="1" si="14"/>
        <v>1.0575017792890629</v>
      </c>
      <c r="R43" s="1">
        <f t="shared" ca="1" si="7"/>
        <v>26.437544482226571</v>
      </c>
      <c r="S43" s="3">
        <f t="shared" ca="1" si="8"/>
        <v>1.4260552943329807</v>
      </c>
      <c r="T43" s="1">
        <v>0.45</v>
      </c>
      <c r="U43" s="31"/>
    </row>
    <row r="44" spans="1:21" x14ac:dyDescent="0.4">
      <c r="A44" s="26"/>
      <c r="B44" s="28" t="s">
        <v>17</v>
      </c>
      <c r="C44" s="1">
        <f>$E$19</f>
        <v>0</v>
      </c>
      <c r="D44" s="1">
        <v>1</v>
      </c>
      <c r="E44" s="1">
        <v>25</v>
      </c>
      <c r="F44" s="1">
        <v>0.9</v>
      </c>
      <c r="G44" s="1">
        <f>熱伝達率!F7</f>
        <v>6.6173890424783002</v>
      </c>
      <c r="H44" s="1">
        <v>5</v>
      </c>
      <c r="I44" s="1">
        <f t="shared" si="0"/>
        <v>8.6077861070465889E-2</v>
      </c>
      <c r="J44" s="1">
        <v>0.09</v>
      </c>
      <c r="K44" s="1">
        <v>2.8527777777777801</v>
      </c>
      <c r="L44" s="1">
        <f t="shared" si="1"/>
        <v>0.33015769625133423</v>
      </c>
      <c r="M44" s="1">
        <f t="shared" si="2"/>
        <v>0.31818985327912297</v>
      </c>
      <c r="N44" s="5">
        <f t="shared" ca="1" si="3"/>
        <v>4.4690350476217793</v>
      </c>
      <c r="O44" s="1">
        <f t="shared" ca="1" si="12"/>
        <v>4.599756769408982</v>
      </c>
      <c r="P44" s="1">
        <f t="shared" ca="1" si="13"/>
        <v>1.697985607874708</v>
      </c>
      <c r="Q44" s="1">
        <f t="shared" ca="1" si="14"/>
        <v>-0.17934050957015205</v>
      </c>
      <c r="R44" s="1">
        <f t="shared" ca="1" si="7"/>
        <v>-4.4835127392538014</v>
      </c>
      <c r="S44" s="3">
        <f t="shared" ca="1" si="8"/>
        <v>1.5186450983045559</v>
      </c>
      <c r="T44" s="1">
        <f t="shared" ref="T44:T46" si="16">(1-$T$43)*E44/SUM($E$40:$E$42,$E$44:$E$46)</f>
        <v>0.16176470588235295</v>
      </c>
      <c r="U44" s="31"/>
    </row>
    <row r="45" spans="1:21" x14ac:dyDescent="0.4">
      <c r="A45" s="26"/>
      <c r="B45" s="28" t="s">
        <v>67</v>
      </c>
      <c r="C45" s="1">
        <f t="shared" si="10"/>
        <v>0</v>
      </c>
      <c r="D45" s="1">
        <v>1</v>
      </c>
      <c r="E45" s="1">
        <v>10</v>
      </c>
      <c r="F45" s="1">
        <v>0.9</v>
      </c>
      <c r="G45" s="1">
        <f>熱伝達率!F8</f>
        <v>5.5472370786574139</v>
      </c>
      <c r="H45" s="1">
        <v>2.5</v>
      </c>
      <c r="I45" s="1">
        <f>1/SUM(G45:H45)</f>
        <v>0.12426625315316771</v>
      </c>
      <c r="J45" s="1">
        <v>0.04</v>
      </c>
      <c r="K45" s="1">
        <f>1/4.65-0.11-0.04</f>
        <v>6.5053763440860196E-2</v>
      </c>
      <c r="L45" s="1">
        <f>1/(I45+$K45+$J45)</f>
        <v>4.3607183308831248</v>
      </c>
      <c r="M45" s="1">
        <f t="shared" si="2"/>
        <v>1.9799872258888653</v>
      </c>
      <c r="N45" s="5">
        <f t="shared" ca="1" si="3"/>
        <v>2.0870818189210318</v>
      </c>
      <c r="O45" s="1">
        <f t="shared" ca="1" si="12"/>
        <v>4.5558542756775893</v>
      </c>
      <c r="P45" s="1">
        <f t="shared" ca="1" si="13"/>
        <v>6.8038758756892221</v>
      </c>
      <c r="Q45" s="1">
        <f t="shared" ca="1" si="14"/>
        <v>13.062921377090301</v>
      </c>
      <c r="R45" s="1">
        <f ca="1">Q45*E45</f>
        <v>130.62921377090302</v>
      </c>
      <c r="S45" s="3">
        <f ca="1">SUM($P45,$Q45)</f>
        <v>19.866797252779524</v>
      </c>
      <c r="T45" s="1">
        <f t="shared" si="16"/>
        <v>6.4705882352941183E-2</v>
      </c>
      <c r="U45" s="31"/>
    </row>
    <row r="46" spans="1:21" s="27" customFormat="1" ht="19.5" thickBot="1" x14ac:dyDescent="0.45">
      <c r="A46" s="32"/>
      <c r="B46" s="33" t="s">
        <v>68</v>
      </c>
      <c r="C46" s="34">
        <f ca="1">O39</f>
        <v>10.851651151689897</v>
      </c>
      <c r="D46" s="34">
        <v>1</v>
      </c>
      <c r="E46" s="34">
        <v>15</v>
      </c>
      <c r="F46" s="34">
        <v>0.9</v>
      </c>
      <c r="G46" s="34">
        <f>熱伝達率!F9</f>
        <v>5.8132697862505394</v>
      </c>
      <c r="H46" s="34">
        <v>2.5</v>
      </c>
      <c r="I46" s="34">
        <f>1/SUM(G46:H46)</f>
        <v>0.12028961235612938</v>
      </c>
      <c r="J46" s="34">
        <f>I39</f>
        <v>0.12028961235612938</v>
      </c>
      <c r="K46" s="34">
        <v>0.179090909090909</v>
      </c>
      <c r="L46" s="34">
        <f>1/(I46+$K46+$J46)</f>
        <v>2.3828238405666879</v>
      </c>
      <c r="M46" s="34">
        <f t="shared" si="2"/>
        <v>1.4298367903226292</v>
      </c>
      <c r="N46" s="35">
        <f t="shared" ca="1" si="3"/>
        <v>6.3578113174174691</v>
      </c>
      <c r="O46" s="34">
        <f t="shared" ca="1" si="12"/>
        <v>4.5522087049215498</v>
      </c>
      <c r="P46" s="34">
        <f t="shared" ca="1" si="13"/>
        <v>-3.8729478705518705</v>
      </c>
      <c r="Q46" s="34">
        <f t="shared" ca="1" si="14"/>
        <v>-11.137513773885486</v>
      </c>
      <c r="R46" s="34">
        <f ca="1">Q46*E46</f>
        <v>-167.0627066082823</v>
      </c>
      <c r="S46" s="36">
        <f ca="1">SUM($P46,$Q46)</f>
        <v>-15.010461644437356</v>
      </c>
      <c r="T46" s="34">
        <f t="shared" si="16"/>
        <v>9.7058823529411767E-2</v>
      </c>
      <c r="U46" s="37"/>
    </row>
    <row r="49" spans="15:19" x14ac:dyDescent="0.4">
      <c r="P49" t="s">
        <v>76</v>
      </c>
    </row>
    <row r="50" spans="15:19" x14ac:dyDescent="0.4">
      <c r="O50" t="s">
        <v>71</v>
      </c>
      <c r="S50" t="s">
        <v>60</v>
      </c>
    </row>
    <row r="51" spans="15:19" x14ac:dyDescent="0.4">
      <c r="O51" s="40">
        <f t="shared" ref="O51:O55" ca="1" si="17">O33</f>
        <v>10.919652482046603</v>
      </c>
      <c r="S51" s="38">
        <f ca="1">S33</f>
        <v>3.615155079132319</v>
      </c>
    </row>
    <row r="52" spans="15:19" x14ac:dyDescent="0.4">
      <c r="O52" s="40">
        <f t="shared" ca="1" si="17"/>
        <v>10.851651151689897</v>
      </c>
      <c r="S52" s="38">
        <f t="shared" ref="S52:S55" ca="1" si="18">S34</f>
        <v>3.6015295201238895</v>
      </c>
    </row>
    <row r="53" spans="15:19" x14ac:dyDescent="0.4">
      <c r="O53" s="40">
        <f t="shared" ca="1" si="17"/>
        <v>10.851651151689897</v>
      </c>
      <c r="S53" s="38">
        <f t="shared" ca="1" si="18"/>
        <v>3.6015295201238895</v>
      </c>
    </row>
    <row r="54" spans="15:19" x14ac:dyDescent="0.4">
      <c r="O54" s="40">
        <f t="shared" ca="1" si="17"/>
        <v>10.103336190888944</v>
      </c>
      <c r="S54" s="38">
        <f t="shared" ca="1" si="18"/>
        <v>3.2181984282659619</v>
      </c>
    </row>
    <row r="55" spans="15:19" x14ac:dyDescent="0.4">
      <c r="O55" s="40">
        <f t="shared" ca="1" si="17"/>
        <v>11.324828552937728</v>
      </c>
      <c r="S55" s="38">
        <f t="shared" ca="1" si="18"/>
        <v>3.7389793054792744</v>
      </c>
    </row>
    <row r="56" spans="15:19" x14ac:dyDescent="0.4">
      <c r="O56" s="40">
        <f t="shared" ref="O56:O60" ca="1" si="19">O40</f>
        <v>4.5590419383610712</v>
      </c>
      <c r="S56" s="38">
        <f ca="1">S40</f>
        <v>1.5093560574882061</v>
      </c>
    </row>
    <row r="57" spans="15:19" x14ac:dyDescent="0.4">
      <c r="O57" s="40">
        <f t="shared" ca="1" si="19"/>
        <v>4.5522087049215498</v>
      </c>
      <c r="S57" s="38">
        <f t="shared" ref="S57:S60" ca="1" si="20">S41</f>
        <v>1.5108220678460398</v>
      </c>
    </row>
    <row r="58" spans="15:19" x14ac:dyDescent="0.4">
      <c r="O58" s="40">
        <f t="shared" ca="1" si="19"/>
        <v>4.5522087049215498</v>
      </c>
      <c r="S58" s="38">
        <f t="shared" ca="1" si="20"/>
        <v>1.5108220678460398</v>
      </c>
    </row>
    <row r="59" spans="15:19" x14ac:dyDescent="0.4">
      <c r="O59" s="40">
        <f t="shared" ca="1" si="19"/>
        <v>4.4770129582116649</v>
      </c>
      <c r="S59" s="38">
        <f t="shared" ca="1" si="20"/>
        <v>1.4260552943329807</v>
      </c>
    </row>
    <row r="60" spans="15:19" x14ac:dyDescent="0.4">
      <c r="O60" s="40">
        <f t="shared" ca="1" si="19"/>
        <v>4.599756769408982</v>
      </c>
      <c r="S60" s="38">
        <f t="shared" ca="1" si="20"/>
        <v>1.5186450983045559</v>
      </c>
    </row>
    <row r="61" spans="15:19" x14ac:dyDescent="0.4">
      <c r="O61" s="40">
        <f ca="1">$O$38</f>
        <v>10.887930266623441</v>
      </c>
      <c r="S61" s="38">
        <f ca="1">S38</f>
        <v>47.479197099042054</v>
      </c>
    </row>
    <row r="62" spans="15:19" x14ac:dyDescent="0.4">
      <c r="O62" s="40">
        <f ca="1">$O$45</f>
        <v>4.5558542756775893</v>
      </c>
      <c r="S62" s="38">
        <f ca="1">S45</f>
        <v>19.866797252779524</v>
      </c>
    </row>
    <row r="63" spans="15:19" x14ac:dyDescent="0.4">
      <c r="O63" s="40">
        <f ca="1">O39</f>
        <v>10.851651151689897</v>
      </c>
      <c r="S63" s="38">
        <f ca="1">S39</f>
        <v>15.010461644437372</v>
      </c>
    </row>
    <row r="64" spans="15:19" x14ac:dyDescent="0.4">
      <c r="O64" s="40">
        <f ca="1">O46</f>
        <v>4.5522087049215498</v>
      </c>
      <c r="S64" s="38">
        <f ca="1">S46</f>
        <v>-15.010461644437356</v>
      </c>
    </row>
  </sheetData>
  <mergeCells count="4">
    <mergeCell ref="A22:A28"/>
    <mergeCell ref="A18:C18"/>
    <mergeCell ref="B21:B24"/>
    <mergeCell ref="B25:B28"/>
  </mergeCells>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熱伝達率</vt:lpstr>
      <vt:lpstr>正解値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serikawa</dc:creator>
  <cp:lastModifiedBy>Makoto Satoh</cp:lastModifiedBy>
  <dcterms:created xsi:type="dcterms:W3CDTF">2020-08-24T06:41:34Z</dcterms:created>
  <dcterms:modified xsi:type="dcterms:W3CDTF">2022-10-05T11:32:20Z</dcterms:modified>
</cp:coreProperties>
</file>