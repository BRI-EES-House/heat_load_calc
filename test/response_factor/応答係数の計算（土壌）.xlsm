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toh\Documents\sourcetree\heat_load_calc\test\response_factor\"/>
    </mc:Choice>
  </mc:AlternateContent>
  <xr:revisionPtr revIDLastSave="0" documentId="13_ncr:1_{83B2BE03-E703-4B04-B4A9-CB8F5BFEED91}" xr6:coauthVersionLast="45" xr6:coauthVersionMax="45" xr10:uidLastSave="{00000000-0000-0000-0000-000000000000}"/>
  <bookViews>
    <workbookView xWindow="10932" yWindow="2028" windowWidth="11880" windowHeight="10152" tabRatio="693" firstSheet="1" activeTab="1" xr2:uid="{00000000-000D-0000-FFFF-FFFF00000000}"/>
  </bookViews>
  <sheets>
    <sheet name="変更履歴" sheetId="144" r:id="rId1"/>
    <sheet name="壁体構成" sheetId="1" r:id="rId2"/>
    <sheet name="応答係数" sheetId="91" r:id="rId3"/>
    <sheet name="応答係数Template" sheetId="1047" r:id="rId4"/>
  </sheets>
  <functionGroups builtInGroupCount="19"/>
  <externalReferences>
    <externalReference r:id="rId5"/>
  </externalReferences>
  <definedNames>
    <definedName name="Approach">#REF!</definedName>
    <definedName name="DetailOut">#REF!</definedName>
    <definedName name="DTime" localSheetId="3">[1]入力データ!$C$2</definedName>
    <definedName name="DTime">#REF!</definedName>
    <definedName name="FFcalcMethod">#REF!</definedName>
    <definedName name="fsolflr">#REF!</definedName>
    <definedName name="Lat">#REF!</definedName>
    <definedName name="Lon">#REF!</definedName>
    <definedName name="Ls">#REF!</definedName>
    <definedName name="NcalTime">#REF!</definedName>
    <definedName name="OTset">#REF!</definedName>
    <definedName name="SimEnDay">#REF!</definedName>
    <definedName name="SimEnMo">#REF!</definedName>
    <definedName name="SimStDay">#REF!</definedName>
    <definedName name="SimStMo">#REF!</definedName>
    <definedName name="パラメータ">壁体構成!$H$1:$O$1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" i="1" l="1"/>
  <c r="G8" i="1"/>
  <c r="G7" i="1"/>
  <c r="F7" i="1"/>
  <c r="G6" i="1" l="1"/>
  <c r="F6" i="1"/>
  <c r="F9" i="1" l="1"/>
  <c r="L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佐藤誠</author>
    <author>satoh</author>
  </authors>
  <commentList>
    <comment ref="D3" authorId="0" shapeId="0" xr:uid="{01A7B5AA-D1B8-4D8D-AD9C-AB73FDD4C7E1}">
      <text>
        <r>
          <rPr>
            <b/>
            <sz val="9"/>
            <color indexed="81"/>
            <rFont val="MS P ゴシック"/>
            <family val="3"/>
            <charset val="128"/>
          </rPr>
          <t>佐藤誠:</t>
        </r>
        <r>
          <rPr>
            <sz val="9"/>
            <color indexed="81"/>
            <rFont val="MS P ゴシック"/>
            <family val="3"/>
            <charset val="128"/>
          </rPr>
          <t xml:space="preserve">
空欄なら定常項とする</t>
        </r>
      </text>
    </comment>
    <comment ref="A4" authorId="1" shapeId="0" xr:uid="{BE9D6446-3089-40F3-8B6A-4AC487BE9905}">
      <text>
        <r>
          <rPr>
            <b/>
            <sz val="9"/>
            <color indexed="81"/>
            <rFont val="ＭＳ Ｐゴシック"/>
            <family val="3"/>
            <charset val="128"/>
          </rPr>
          <t>satoh:</t>
        </r>
        <r>
          <rPr>
            <sz val="9"/>
            <color indexed="81"/>
            <rFont val="ＭＳ Ｐゴシック"/>
            <family val="3"/>
            <charset val="128"/>
          </rPr>
          <t xml:space="preserve">
「床」の文言が含まれるものが床扱い
（透過日射が集中的に吸収される）</t>
        </r>
      </text>
    </comment>
  </commentList>
</comments>
</file>

<file path=xl/sharedStrings.xml><?xml version="1.0" encoding="utf-8"?>
<sst xmlns="http://schemas.openxmlformats.org/spreadsheetml/2006/main" count="54" uniqueCount="50">
  <si>
    <t>日付</t>
    <rPh sb="0" eb="2">
      <t>ヒヅケ</t>
    </rPh>
    <phoneticPr fontId="3"/>
  </si>
  <si>
    <t>[-]</t>
    <phoneticPr fontId="3"/>
  </si>
  <si>
    <t>熱伝導率</t>
    <rPh sb="0" eb="1">
      <t>ネツ</t>
    </rPh>
    <rPh sb="1" eb="4">
      <t>デンドウリツ</t>
    </rPh>
    <phoneticPr fontId="3"/>
  </si>
  <si>
    <t>容積比熱</t>
    <rPh sb="0" eb="2">
      <t>ヨウセキ</t>
    </rPh>
    <rPh sb="2" eb="4">
      <t>ヒネツ</t>
    </rPh>
    <phoneticPr fontId="3"/>
  </si>
  <si>
    <t>厚さ</t>
    <rPh sb="0" eb="1">
      <t>アツ</t>
    </rPh>
    <phoneticPr fontId="3"/>
  </si>
  <si>
    <t>R熱抵抗</t>
    <rPh sb="1" eb="2">
      <t>ネツ</t>
    </rPh>
    <rPh sb="2" eb="4">
      <t>テイコウ</t>
    </rPh>
    <phoneticPr fontId="3"/>
  </si>
  <si>
    <t>C単位面積熱容量</t>
    <rPh sb="1" eb="3">
      <t>タンイ</t>
    </rPh>
    <rPh sb="3" eb="5">
      <t>メンセキ</t>
    </rPh>
    <rPh sb="5" eb="8">
      <t>ネツヨウリョウ</t>
    </rPh>
    <phoneticPr fontId="3"/>
  </si>
  <si>
    <t>[mm]</t>
  </si>
  <si>
    <t>部材</t>
    <rPh sb="0" eb="2">
      <t>ブザイ</t>
    </rPh>
    <phoneticPr fontId="3"/>
  </si>
  <si>
    <t>部位名称</t>
    <rPh sb="0" eb="2">
      <t>ブイ</t>
    </rPh>
    <rPh sb="2" eb="4">
      <t>メイショウ</t>
    </rPh>
    <phoneticPr fontId="3"/>
  </si>
  <si>
    <t>熱貫流率</t>
    <rPh sb="0" eb="1">
      <t>ネツ</t>
    </rPh>
    <rPh sb="1" eb="3">
      <t>カンリュウ</t>
    </rPh>
    <rPh sb="3" eb="4">
      <t>リツ</t>
    </rPh>
    <phoneticPr fontId="3"/>
  </si>
  <si>
    <t>時間間隔</t>
    <rPh sb="0" eb="2">
      <t>ジカン</t>
    </rPh>
    <rPh sb="2" eb="4">
      <t>カンカク</t>
    </rPh>
    <phoneticPr fontId="3"/>
  </si>
  <si>
    <t>s</t>
    <phoneticPr fontId="3"/>
  </si>
  <si>
    <t>作成項数</t>
    <rPh sb="0" eb="2">
      <t>サクセイ</t>
    </rPh>
    <rPh sb="2" eb="4">
      <t>コウスウ</t>
    </rPh>
    <phoneticPr fontId="3"/>
  </si>
  <si>
    <t>時間</t>
    <rPh sb="0" eb="2">
      <t>ジカン</t>
    </rPh>
    <phoneticPr fontId="3"/>
  </si>
  <si>
    <t>[kJ/m3K]</t>
    <phoneticPr fontId="3"/>
  </si>
  <si>
    <t>室外側放射率</t>
    <rPh sb="0" eb="2">
      <t>シツガイ</t>
    </rPh>
    <rPh sb="2" eb="3">
      <t>ガワ</t>
    </rPh>
    <rPh sb="3" eb="6">
      <t>ホウシャリツ</t>
    </rPh>
    <phoneticPr fontId="3"/>
  </si>
  <si>
    <t>室外側日射吸収率</t>
    <rPh sb="0" eb="2">
      <t>シツガイ</t>
    </rPh>
    <rPh sb="2" eb="3">
      <t>ガワ</t>
    </rPh>
    <rPh sb="3" eb="5">
      <t>ニッシャ</t>
    </rPh>
    <rPh sb="5" eb="7">
      <t>キュウシュウ</t>
    </rPh>
    <rPh sb="7" eb="8">
      <t>リツ</t>
    </rPh>
    <phoneticPr fontId="3"/>
  </si>
  <si>
    <t>対象</t>
    <rPh sb="0" eb="2">
      <t>タイショウ</t>
    </rPh>
    <phoneticPr fontId="3"/>
  </si>
  <si>
    <t>内容</t>
    <rPh sb="0" eb="2">
      <t>ナイヨウ</t>
    </rPh>
    <phoneticPr fontId="3"/>
  </si>
  <si>
    <t>室内放射熱伝達率</t>
    <rPh sb="0" eb="2">
      <t>シツナイ</t>
    </rPh>
    <rPh sb="2" eb="4">
      <t>ホウシャ</t>
    </rPh>
    <rPh sb="4" eb="8">
      <t>ネツデンタツリツ</t>
    </rPh>
    <phoneticPr fontId="3"/>
  </si>
  <si>
    <t>[W/(m2･K)]</t>
    <phoneticPr fontId="3"/>
  </si>
  <si>
    <t>室内対流熱伝達率</t>
    <rPh sb="0" eb="2">
      <t>シツナイ</t>
    </rPh>
    <rPh sb="2" eb="4">
      <t>タイリュウ</t>
    </rPh>
    <rPh sb="4" eb="8">
      <t>ネツデンタツリツ</t>
    </rPh>
    <phoneticPr fontId="3"/>
  </si>
  <si>
    <t>[m2K/W]</t>
    <phoneticPr fontId="3"/>
  </si>
  <si>
    <t>[W/mK]</t>
    <phoneticPr fontId="3"/>
  </si>
  <si>
    <t>[kJ/m2K]</t>
    <phoneticPr fontId="3"/>
  </si>
  <si>
    <t>貫流応答（単位）</t>
  </si>
  <si>
    <t>吸熱応答（単位）</t>
  </si>
  <si>
    <t>貫流応答（二等辺三角）</t>
  </si>
  <si>
    <t>吸熱応答（二等辺三角）</t>
  </si>
  <si>
    <t>根（α）</t>
  </si>
  <si>
    <t>公比</t>
  </si>
  <si>
    <t>指数項別貫流応答</t>
  </si>
  <si>
    <t>指数項別吸熱応答</t>
  </si>
  <si>
    <t>固定根α</t>
    <rPh sb="0" eb="2">
      <t>コテイ</t>
    </rPh>
    <rPh sb="2" eb="3">
      <t>コン</t>
    </rPh>
    <phoneticPr fontId="3"/>
  </si>
  <si>
    <t>ラプラス変数s</t>
    <rPh sb="4" eb="6">
      <t>ヘンスウ</t>
    </rPh>
    <phoneticPr fontId="3"/>
  </si>
  <si>
    <t>↑ラプラス変数が空欄の場合は、固定根から等比数列によってラプラス変数を生成する</t>
    <rPh sb="5" eb="7">
      <t>ヘンスウ</t>
    </rPh>
    <rPh sb="8" eb="10">
      <t>クウラン</t>
    </rPh>
    <rPh sb="11" eb="13">
      <t>バアイ</t>
    </rPh>
    <rPh sb="15" eb="17">
      <t>コテイ</t>
    </rPh>
    <rPh sb="17" eb="18">
      <t>コン</t>
    </rPh>
    <rPh sb="20" eb="22">
      <t>トウヒ</t>
    </rPh>
    <rPh sb="22" eb="24">
      <t>スウレツ</t>
    </rPh>
    <rPh sb="32" eb="34">
      <t>ヘンスウ</t>
    </rPh>
    <rPh sb="35" eb="37">
      <t>セイセイ</t>
    </rPh>
    <phoneticPr fontId="3"/>
  </si>
  <si>
    <t>A0周期</t>
    <rPh sb="2" eb="4">
      <t>シュウキ</t>
    </rPh>
    <phoneticPr fontId="3"/>
  </si>
  <si>
    <t>全体</t>
    <rPh sb="0" eb="2">
      <t>ゼンタイ</t>
    </rPh>
    <phoneticPr fontId="3"/>
  </si>
  <si>
    <t>応答係数を計算する部分を抜粋</t>
    <rPh sb="0" eb="2">
      <t>オウトウ</t>
    </rPh>
    <rPh sb="2" eb="4">
      <t>ケイスウ</t>
    </rPh>
    <rPh sb="5" eb="7">
      <t>ケイサン</t>
    </rPh>
    <rPh sb="9" eb="11">
      <t>ブブン</t>
    </rPh>
    <rPh sb="12" eb="14">
      <t>バッスイ</t>
    </rPh>
    <phoneticPr fontId="3"/>
  </si>
  <si>
    <t>コンクリート</t>
    <phoneticPr fontId="3"/>
  </si>
  <si>
    <t>押出法ポリスチレンフォーム保温板2種</t>
    <rPh sb="0" eb="2">
      <t>オシダシ</t>
    </rPh>
    <rPh sb="2" eb="3">
      <t>ホウ</t>
    </rPh>
    <rPh sb="13" eb="16">
      <t>ホオンバン</t>
    </rPh>
    <rPh sb="17" eb="18">
      <t>シュ</t>
    </rPh>
    <phoneticPr fontId="3"/>
  </si>
  <si>
    <t>パラメータAT</t>
  </si>
  <si>
    <t>パラメータAA</t>
  </si>
  <si>
    <t>ラプラス変数</t>
  </si>
  <si>
    <t>伝達関数GT</t>
  </si>
  <si>
    <t>伝達関数GA</t>
  </si>
  <si>
    <t>壁体</t>
  </si>
  <si>
    <t>壁体</t>
    <rPh sb="0" eb="2">
      <t>ヘキタイ</t>
    </rPh>
    <phoneticPr fontId="3"/>
  </si>
  <si>
    <t>土壌</t>
    <rPh sb="0" eb="2">
      <t>ドジョウ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</si>
</sst>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00"/>
    <numFmt numFmtId="177" formatCode="0.000"/>
    <numFmt numFmtId="178" formatCode="yyyy/m/d;@"/>
    <numFmt numFmtId="179" formatCode="0.0000E+00"/>
    <numFmt numFmtId="180" formatCode="0.000000"/>
    <numFmt numFmtId="181" formatCode="0.0000000000"/>
  </numFmts>
  <fonts count="13"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 tint="0.34998626667073579"/>
      <name val="ＭＳ Ｐゴシック"/>
      <family val="2"/>
      <charset val="128"/>
      <scheme val="minor"/>
    </font>
    <font>
      <sz val="9"/>
      <color theme="1" tint="0.34998626667073579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/>
    <xf numFmtId="38" fontId="8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/>
  </cellStyleXfs>
  <cellXfs count="30">
    <xf numFmtId="0" fontId="0" fillId="0" borderId="0" xfId="0">
      <alignment vertical="center"/>
    </xf>
    <xf numFmtId="0" fontId="0" fillId="2" borderId="4" xfId="0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9" fillId="2" borderId="1" xfId="0" applyFont="1" applyFill="1" applyBorder="1" applyAlignment="1">
      <alignment horizontal="centerContinuous" vertical="center"/>
    </xf>
    <xf numFmtId="0" fontId="10" fillId="2" borderId="1" xfId="0" applyFont="1" applyFill="1" applyBorder="1" applyAlignment="1">
      <alignment horizontal="centerContinuous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vertical="center" wrapText="1"/>
    </xf>
    <xf numFmtId="0" fontId="0" fillId="2" borderId="3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Continuous" vertical="center" wrapText="1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2" fontId="0" fillId="3" borderId="4" xfId="0" applyNumberFormat="1" applyFill="1" applyBorder="1" applyAlignment="1">
      <alignment horizontal="centerContinuous" vertical="center"/>
    </xf>
    <xf numFmtId="0" fontId="0" fillId="0" borderId="1" xfId="0" applyFill="1" applyBorder="1" applyAlignment="1">
      <alignment vertical="center" wrapText="1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79" fontId="0" fillId="0" borderId="0" xfId="0" applyNumberFormat="1">
      <alignment vertical="center"/>
    </xf>
    <xf numFmtId="179" fontId="0" fillId="0" borderId="5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3" xfId="0" applyFill="1" applyBorder="1">
      <alignment vertical="center"/>
    </xf>
    <xf numFmtId="177" fontId="0" fillId="0" borderId="0" xfId="0" applyNumberFormat="1">
      <alignment vertical="center"/>
    </xf>
    <xf numFmtId="180" fontId="0" fillId="0" borderId="1" xfId="1" applyNumberFormat="1" applyFont="1" applyBorder="1">
      <alignment vertical="center"/>
    </xf>
    <xf numFmtId="181" fontId="0" fillId="0" borderId="1" xfId="0" applyNumberFormat="1" applyBorder="1">
      <alignment vertical="center"/>
    </xf>
  </cellXfs>
  <cellStyles count="17">
    <cellStyle name="パーセント 2" xfId="3" xr:uid="{00000000-0005-0000-0000-000000000000}"/>
    <cellStyle name="桁区切り" xfId="1" builtinId="6"/>
    <cellStyle name="桁区切り 2" xfId="4" xr:uid="{00000000-0005-0000-0000-000002000000}"/>
    <cellStyle name="桁区切り 2 2" xfId="5" xr:uid="{00000000-0005-0000-0000-000003000000}"/>
    <cellStyle name="桁区切り 2 2 2" xfId="6" xr:uid="{00000000-0005-0000-0000-000004000000}"/>
    <cellStyle name="桁区切り 2 3" xfId="7" xr:uid="{00000000-0005-0000-0000-000005000000}"/>
    <cellStyle name="桁区切り 3" xfId="8" xr:uid="{00000000-0005-0000-0000-000006000000}"/>
    <cellStyle name="桁区切り 4" xfId="9" xr:uid="{00000000-0005-0000-0000-000007000000}"/>
    <cellStyle name="標準" xfId="0" builtinId="0"/>
    <cellStyle name="標準 10" xfId="10" xr:uid="{00000000-0005-0000-0000-000009000000}"/>
    <cellStyle name="標準 11" xfId="11" xr:uid="{00000000-0005-0000-0000-00000A000000}"/>
    <cellStyle name="標準 12" xfId="12" xr:uid="{00000000-0005-0000-0000-00000B000000}"/>
    <cellStyle name="標準 2" xfId="13" xr:uid="{00000000-0005-0000-0000-00000C000000}"/>
    <cellStyle name="標準 2 2" xfId="14" xr:uid="{00000000-0005-0000-0000-00000D000000}"/>
    <cellStyle name="標準 3" xfId="15" xr:uid="{00000000-0005-0000-0000-00000E000000}"/>
    <cellStyle name="標準 4" xfId="2" xr:uid="{00000000-0005-0000-0000-00000F000000}"/>
    <cellStyle name="標準 9" xfId="16" xr:uid="{00000000-0005-0000-0000-000010000000}"/>
  </cellStyles>
  <dxfs count="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99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応答係数!$AX$2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応答係数!$AX$3:$AX$803</c:f>
              <c:numCache>
                <c:formatCode>General</c:formatCode>
                <c:ptCount val="8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4F-43CB-8212-0E2DB5FB38FE}"/>
            </c:ext>
          </c:extLst>
        </c:ser>
        <c:ser>
          <c:idx val="1"/>
          <c:order val="1"/>
          <c:tx>
            <c:strRef>
              <c:f>応答係数!$AY$2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応答係数!$AY$3:$AY$803</c:f>
              <c:numCache>
                <c:formatCode>General</c:formatCode>
                <c:ptCount val="8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4F-43CB-8212-0E2DB5FB3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2560696"/>
        <c:axId val="722557416"/>
      </c:lineChart>
      <c:catAx>
        <c:axId val="722560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2557416"/>
        <c:crosses val="autoZero"/>
        <c:auto val="1"/>
        <c:lblAlgn val="ctr"/>
        <c:lblOffset val="100"/>
        <c:noMultiLvlLbl val="0"/>
      </c:catAx>
      <c:valAx>
        <c:axId val="72255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2560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応答係数!$C$2</c:f>
              <c:strCache>
                <c:ptCount val="1"/>
                <c:pt idx="0">
                  <c:v>吸熱応答（単位）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応答係数!$C$3:$C$4003</c:f>
              <c:numCache>
                <c:formatCode>0.0000</c:formatCode>
                <c:ptCount val="4001"/>
                <c:pt idx="0">
                  <c:v>0.69016242634654157</c:v>
                </c:pt>
                <c:pt idx="1">
                  <c:v>0.75677750919903009</c:v>
                </c:pt>
                <c:pt idx="2">
                  <c:v>0.80814560716693373</c:v>
                </c:pt>
                <c:pt idx="3">
                  <c:v>0.8476966381795572</c:v>
                </c:pt>
                <c:pt idx="4">
                  <c:v>0.87809810315485626</c:v>
                </c:pt>
                <c:pt idx="5">
                  <c:v>0.90142396117153589</c:v>
                </c:pt>
                <c:pt idx="6">
                  <c:v>0.9192861356303822</c:v>
                </c:pt>
                <c:pt idx="7">
                  <c:v>0.9329369182513001</c:v>
                </c:pt>
                <c:pt idx="8">
                  <c:v>0.94334870908007284</c:v>
                </c:pt>
                <c:pt idx="9">
                  <c:v>0.95127610651070338</c:v>
                </c:pt>
                <c:pt idx="10">
                  <c:v>0.95730425218909787</c:v>
                </c:pt>
                <c:pt idx="11">
                  <c:v>0.9618864718675274</c:v>
                </c:pt>
                <c:pt idx="12">
                  <c:v>0.96537358055680556</c:v>
                </c:pt>
                <c:pt idx="13">
                  <c:v>0.96803669640879775</c:v>
                </c:pt>
                <c:pt idx="14">
                  <c:v>0.97008499973936713</c:v>
                </c:pt>
                <c:pt idx="15">
                  <c:v>0.97167955583578591</c:v>
                </c:pt>
                <c:pt idx="16">
                  <c:v>0.97294407271825367</c:v>
                </c:pt>
                <c:pt idx="17">
                  <c:v>0.97397327229379405</c:v>
                </c:pt>
                <c:pt idx="18">
                  <c:v>0.97483940324330087</c:v>
                </c:pt>
                <c:pt idx="19">
                  <c:v>0.97559730708811887</c:v>
                </c:pt>
                <c:pt idx="20">
                  <c:v>0.97628835784666157</c:v>
                </c:pt>
                <c:pt idx="21">
                  <c:v>0.97694352479427404</c:v>
                </c:pt>
                <c:pt idx="22">
                  <c:v>0.97758575262604241</c:v>
                </c:pt>
                <c:pt idx="23">
                  <c:v>0.9782318103232106</c:v>
                </c:pt>
                <c:pt idx="24">
                  <c:v>0.97889372653747253</c:v>
                </c:pt>
                <c:pt idx="25">
                  <c:v>0.97957990322919908</c:v>
                </c:pt>
                <c:pt idx="26">
                  <c:v>0.98029597898718079</c:v>
                </c:pt>
                <c:pt idx="27">
                  <c:v>0.98104549764202609</c:v>
                </c:pt>
                <c:pt idx="28">
                  <c:v>0.98183042546938559</c:v>
                </c:pt>
                <c:pt idx="29">
                  <c:v>0.98265155068827681</c:v>
                </c:pt>
                <c:pt idx="30">
                  <c:v>0.98350879149127191</c:v>
                </c:pt>
                <c:pt idx="31">
                  <c:v>0.9844014330275952</c:v>
                </c:pt>
                <c:pt idx="32">
                  <c:v>0.98532830923161885</c:v>
                </c:pt>
                <c:pt idx="33">
                  <c:v>0.98628794186314628</c:v>
                </c:pt>
                <c:pt idx="34">
                  <c:v>0.98727864638031515</c:v>
                </c:pt>
                <c:pt idx="35">
                  <c:v>0.98829861212837578</c:v>
                </c:pt>
                <c:pt idx="36">
                  <c:v>0.98934596266344366</c:v>
                </c:pt>
                <c:pt idx="37">
                  <c:v>0.99041880073473676</c:v>
                </c:pt>
                <c:pt idx="38">
                  <c:v>0.99151524144041259</c:v>
                </c:pt>
                <c:pt idx="39">
                  <c:v>0.99263343628717415</c:v>
                </c:pt>
                <c:pt idx="40">
                  <c:v>0.99377159027297701</c:v>
                </c:pt>
                <c:pt idx="41">
                  <c:v>0.994927973636903</c:v>
                </c:pt>
                <c:pt idx="42">
                  <c:v>0.9961009295504375</c:v>
                </c:pt>
                <c:pt idx="43">
                  <c:v>0.99728887873681926</c:v>
                </c:pt>
                <c:pt idx="44">
                  <c:v>0.99849032178148411</c:v>
                </c:pt>
                <c:pt idx="45">
                  <c:v>0.999703839722758</c:v>
                </c:pt>
                <c:pt idx="46">
                  <c:v>1.0009280933769082</c:v>
                </c:pt>
                <c:pt idx="47">
                  <c:v>1.0021618217466994</c:v>
                </c:pt>
                <c:pt idx="48">
                  <c:v>1.0034038397812097</c:v>
                </c:pt>
                <c:pt idx="49">
                  <c:v>1.0046530356914642</c:v>
                </c:pt>
                <c:pt idx="50">
                  <c:v>1.0059083679774994</c:v>
                </c:pt>
                <c:pt idx="51">
                  <c:v>1.0071688622845631</c:v>
                </c:pt>
                <c:pt idx="52">
                  <c:v>1.0084336081768559</c:v>
                </c:pt>
                <c:pt idx="53">
                  <c:v>1.0097017558945827</c:v>
                </c:pt>
                <c:pt idx="54">
                  <c:v>1.0109725131426543</c:v>
                </c:pt>
                <c:pt idx="55">
                  <c:v>1.0122451419459748</c:v>
                </c:pt>
                <c:pt idx="56">
                  <c:v>1.0135189555959758</c:v>
                </c:pt>
                <c:pt idx="57">
                  <c:v>1.0147933157052065</c:v>
                </c:pt>
                <c:pt idx="58">
                  <c:v>1.0160676293808346</c:v>
                </c:pt>
                <c:pt idx="59">
                  <c:v>1.0173413465233829</c:v>
                </c:pt>
                <c:pt idx="60">
                  <c:v>1.0186139572536648</c:v>
                </c:pt>
                <c:pt idx="61">
                  <c:v>1.0198849894683457</c:v>
                </c:pt>
                <c:pt idx="62">
                  <c:v>1.0211540065227209</c:v>
                </c:pt>
                <c:pt idx="63">
                  <c:v>1.0224206050379798</c:v>
                </c:pt>
                <c:pt idx="64">
                  <c:v>1.0236844128292533</c:v>
                </c:pt>
                <c:pt idx="65">
                  <c:v>1.0249450869501502</c:v>
                </c:pt>
                <c:pt idx="66">
                  <c:v>1.0262023118490453</c:v>
                </c:pt>
                <c:pt idx="67">
                  <c:v>1.0274557976321652</c:v>
                </c:pt>
                <c:pt idx="68">
                  <c:v>1.0287052784284068</c:v>
                </c:pt>
                <c:pt idx="69">
                  <c:v>1.0299505108508118</c:v>
                </c:pt>
                <c:pt idx="70">
                  <c:v>1.0311912725496928</c:v>
                </c:pt>
                <c:pt idx="71">
                  <c:v>1.0324273608524943</c:v>
                </c:pt>
                <c:pt idx="72">
                  <c:v>1.0336585914856642</c:v>
                </c:pt>
                <c:pt idx="73">
                  <c:v>1.0348847973739277</c:v>
                </c:pt>
                <c:pt idx="74">
                  <c:v>1.0361058275125781</c:v>
                </c:pt>
                <c:pt idx="75">
                  <c:v>1.0373215459086063</c:v>
                </c:pt>
                <c:pt idx="76">
                  <c:v>1.038531830586642</c:v>
                </c:pt>
                <c:pt idx="77">
                  <c:v>1.0397365726559284</c:v>
                </c:pt>
                <c:pt idx="78">
                  <c:v>1.040935675434727</c:v>
                </c:pt>
                <c:pt idx="79">
                  <c:v>1.0421290536287369</c:v>
                </c:pt>
                <c:pt idx="80">
                  <c:v>1.0433166325603129</c:v>
                </c:pt>
                <c:pt idx="81">
                  <c:v>1.0444983474454448</c:v>
                </c:pt>
                <c:pt idx="82">
                  <c:v>1.0456741427156098</c:v>
                </c:pt>
                <c:pt idx="83">
                  <c:v>1.0468439713818252</c:v>
                </c:pt>
                <c:pt idx="84">
                  <c:v>1.0480077944383159</c:v>
                </c:pt>
                <c:pt idx="85">
                  <c:v>1.0491655803034234</c:v>
                </c:pt>
                <c:pt idx="86">
                  <c:v>1.0503173042954987</c:v>
                </c:pt>
                <c:pt idx="87">
                  <c:v>1.0514629481416273</c:v>
                </c:pt>
                <c:pt idx="88">
                  <c:v>1.0526024995172256</c:v>
                </c:pt>
                <c:pt idx="89">
                  <c:v>1.0537359516145999</c:v>
                </c:pt>
                <c:pt idx="90">
                  <c:v>1.0548633027387122</c:v>
                </c:pt>
                <c:pt idx="91">
                  <c:v>1.0559845559285026</c:v>
                </c:pt>
                <c:pt idx="92">
                  <c:v>1.0570997186021869</c:v>
                </c:pt>
                <c:pt idx="93">
                  <c:v>1.0582088022250711</c:v>
                </c:pt>
                <c:pt idx="94">
                  <c:v>1.0593118219985191</c:v>
                </c:pt>
                <c:pt idx="95">
                  <c:v>1.0604087965687556</c:v>
                </c:pt>
                <c:pt idx="96">
                  <c:v>1.0614997477542982</c:v>
                </c:pt>
                <c:pt idx="97">
                  <c:v>1.0625847002908815</c:v>
                </c:pt>
                <c:pt idx="98">
                  <c:v>1.0636636815927893</c:v>
                </c:pt>
                <c:pt idx="99">
                  <c:v>1.0647367215295931</c:v>
                </c:pt>
                <c:pt idx="100">
                  <c:v>1.0658038522173379</c:v>
                </c:pt>
                <c:pt idx="101">
                  <c:v>1.0668651078233098</c:v>
                </c:pt>
                <c:pt idx="102">
                  <c:v>1.0679205243835224</c:v>
                </c:pt>
                <c:pt idx="103">
                  <c:v>1.0689701396321543</c:v>
                </c:pt>
                <c:pt idx="104">
                  <c:v>1.0700139928421912</c:v>
                </c:pt>
                <c:pt idx="105">
                  <c:v>1.0710521246765836</c:v>
                </c:pt>
                <c:pt idx="106">
                  <c:v>1.07208457704928</c:v>
                </c:pt>
                <c:pt idx="107">
                  <c:v>1.0731113929954981</c:v>
                </c:pt>
                <c:pt idx="108">
                  <c:v>1.0741326165506935</c:v>
                </c:pt>
                <c:pt idx="109">
                  <c:v>1.0751482926376572</c:v>
                </c:pt>
                <c:pt idx="110">
                  <c:v>1.0761584669612636</c:v>
                </c:pt>
                <c:pt idx="111">
                  <c:v>1.0771631859103672</c:v>
                </c:pt>
                <c:pt idx="112">
                  <c:v>1.0781624964664265</c:v>
                </c:pt>
                <c:pt idx="113">
                  <c:v>1.0791564461184144</c:v>
                </c:pt>
                <c:pt idx="114">
                  <c:v>1.0801450827836441</c:v>
                </c:pt>
                <c:pt idx="115">
                  <c:v>1.0811284547341189</c:v>
                </c:pt>
                <c:pt idx="116">
                  <c:v>1.0821066105280739</c:v>
                </c:pt>
                <c:pt idx="117">
                  <c:v>1.0830795989463844</c:v>
                </c:pt>
                <c:pt idx="118">
                  <c:v>1.0840474689335258</c:v>
                </c:pt>
                <c:pt idx="119">
                  <c:v>1.0850102695428021</c:v>
                </c:pt>
                <c:pt idx="120">
                  <c:v>1.0859680498855813</c:v>
                </c:pt>
                <c:pt idx="121">
                  <c:v>1.0869208590842718</c:v>
                </c:pt>
                <c:pt idx="122">
                  <c:v>1.0878687462288135</c:v>
                </c:pt>
                <c:pt idx="123">
                  <c:v>1.0888117603364544</c:v>
                </c:pt>
                <c:pt idx="124">
                  <c:v>1.0897499503146024</c:v>
                </c:pt>
                <c:pt idx="125">
                  <c:v>1.0906833649265641</c:v>
                </c:pt>
                <c:pt idx="126">
                  <c:v>1.091612052759982</c:v>
                </c:pt>
                <c:pt idx="127">
                  <c:v>1.0925360621977822</c:v>
                </c:pt>
                <c:pt idx="128">
                  <c:v>1.0934554413915065</c:v>
                </c:pt>
                <c:pt idx="129">
                  <c:v>1.0943702382368348</c:v>
                </c:pt>
                <c:pt idx="130">
                  <c:v>1.0952805003511812</c:v>
                </c:pt>
                <c:pt idx="131">
                  <c:v>1.096186275053225</c:v>
                </c:pt>
                <c:pt idx="132">
                  <c:v>1.0970876093442463</c:v>
                </c:pt>
                <c:pt idx="133">
                  <c:v>1.0979845498911456</c:v>
                </c:pt>
                <c:pt idx="134">
                  <c:v>1.0988771430110467</c:v>
                </c:pt>
                <c:pt idx="135">
                  <c:v>1.099765434657372</c:v>
                </c:pt>
                <c:pt idx="136">
                  <c:v>1.100649470407286</c:v>
                </c:pt>
                <c:pt idx="137">
                  <c:v>1.1015292954504392</c:v>
                </c:pt>
                <c:pt idx="138">
                  <c:v>1.1024049545788905</c:v>
                </c:pt>
                <c:pt idx="139">
                  <c:v>1.1032764921781595</c:v>
                </c:pt>
                <c:pt idx="140">
                  <c:v>1.1041439522193239</c:v>
                </c:pt>
                <c:pt idx="141">
                  <c:v>1.1050073782520768</c:v>
                </c:pt>
                <c:pt idx="142">
                  <c:v>1.1058668133986973</c:v>
                </c:pt>
                <c:pt idx="143">
                  <c:v>1.1067223003488618</c:v>
                </c:pt>
                <c:pt idx="144">
                  <c:v>1.1075738813552374</c:v>
                </c:pt>
                <c:pt idx="145">
                  <c:v>1.1084215982298098</c:v>
                </c:pt>
                <c:pt idx="146">
                  <c:v>1.1092654923408838</c:v>
                </c:pt>
                <c:pt idx="147">
                  <c:v>1.1101056046107167</c:v>
                </c:pt>
                <c:pt idx="148">
                  <c:v>1.1109419755137377</c:v>
                </c:pt>
                <c:pt idx="149">
                  <c:v>1.1117746450753039</c:v>
                </c:pt>
                <c:pt idx="150">
                  <c:v>1.1126036528709702</c:v>
                </c:pt>
                <c:pt idx="151">
                  <c:v>1.1134290380262157</c:v>
                </c:pt>
                <c:pt idx="152">
                  <c:v>1.1142508392166064</c:v>
                </c:pt>
                <c:pt idx="153">
                  <c:v>1.1150690946683515</c:v>
                </c:pt>
                <c:pt idx="154">
                  <c:v>1.1158838421592379</c:v>
                </c:pt>
                <c:pt idx="155">
                  <c:v>1.1166951190198939</c:v>
                </c:pt>
                <c:pt idx="156">
                  <c:v>1.1175029621353727</c:v>
                </c:pt>
                <c:pt idx="157">
                  <c:v>1.1183074079470208</c:v>
                </c:pt>
                <c:pt idx="158">
                  <c:v>1.1191084924546146</c:v>
                </c:pt>
                <c:pt idx="159">
                  <c:v>1.1199062512187348</c:v>
                </c:pt>
                <c:pt idx="160">
                  <c:v>1.1207007193633693</c:v>
                </c:pt>
                <c:pt idx="161">
                  <c:v>1.1214919315787153</c:v>
                </c:pt>
                <c:pt idx="162">
                  <c:v>1.1222799221241697</c:v>
                </c:pt>
                <c:pt idx="163">
                  <c:v>1.1230647248314829</c:v>
                </c:pt>
                <c:pt idx="164">
                  <c:v>1.123846373108073</c:v>
                </c:pt>
                <c:pt idx="165">
                  <c:v>1.1246248999404778</c:v>
                </c:pt>
                <c:pt idx="166">
                  <c:v>1.1254003378979216</c:v>
                </c:pt>
                <c:pt idx="167">
                  <c:v>1.1261727191360118</c:v>
                </c:pt>
                <c:pt idx="168">
                  <c:v>1.1269420754005171</c:v>
                </c:pt>
                <c:pt idx="169">
                  <c:v>1.1277084380312512</c:v>
                </c:pt>
                <c:pt idx="170">
                  <c:v>1.1284718379660239</c:v>
                </c:pt>
                <c:pt idx="171">
                  <c:v>1.1292323057446707</c:v>
                </c:pt>
                <c:pt idx="172">
                  <c:v>1.1299898715131336</c:v>
                </c:pt>
                <c:pt idx="173">
                  <c:v>1.130744565027604</c:v>
                </c:pt>
                <c:pt idx="174">
                  <c:v>1.1314964156586989</c:v>
                </c:pt>
                <c:pt idx="175">
                  <c:v>1.1322454523956871</c:v>
                </c:pt>
                <c:pt idx="176">
                  <c:v>1.1329917038507351</c:v>
                </c:pt>
                <c:pt idx="177">
                  <c:v>1.1337351982631803</c:v>
                </c:pt>
                <c:pt idx="178">
                  <c:v>1.1344759635038268</c:v>
                </c:pt>
                <c:pt idx="179">
                  <c:v>1.1352140270792481</c:v>
                </c:pt>
                <c:pt idx="180">
                  <c:v>1.135949416136103</c:v>
                </c:pt>
                <c:pt idx="181">
                  <c:v>1.13668215746545</c:v>
                </c:pt>
                <c:pt idx="182">
                  <c:v>1.1374122775070661</c:v>
                </c:pt>
                <c:pt idx="183">
                  <c:v>1.1381398023537561</c:v>
                </c:pt>
                <c:pt idx="184">
                  <c:v>1.1388647577556579</c:v>
                </c:pt>
                <c:pt idx="185">
                  <c:v>1.1395871691245294</c:v>
                </c:pt>
                <c:pt idx="186">
                  <c:v>1.1403070615380315</c:v>
                </c:pt>
                <c:pt idx="187">
                  <c:v>1.1410244597439794</c:v>
                </c:pt>
                <c:pt idx="188">
                  <c:v>1.1417393881645863</c:v>
                </c:pt>
                <c:pt idx="189">
                  <c:v>1.1424518709006759</c:v>
                </c:pt>
                <c:pt idx="190">
                  <c:v>1.1431619317358723</c:v>
                </c:pt>
                <c:pt idx="191">
                  <c:v>1.1438695941407657</c:v>
                </c:pt>
                <c:pt idx="192">
                  <c:v>1.1445748812770447</c:v>
                </c:pt>
                <c:pt idx="193">
                  <c:v>1.1452778160016006</c:v>
                </c:pt>
                <c:pt idx="194">
                  <c:v>1.1459784208706014</c:v>
                </c:pt>
                <c:pt idx="195">
                  <c:v>1.1466767181435251</c:v>
                </c:pt>
                <c:pt idx="196">
                  <c:v>1.1473727297871696</c:v>
                </c:pt>
                <c:pt idx="197">
                  <c:v>1.1480664774796159</c:v>
                </c:pt>
                <c:pt idx="198">
                  <c:v>1.1487579826141621</c:v>
                </c:pt>
                <c:pt idx="199">
                  <c:v>1.1494472663032151</c:v>
                </c:pt>
                <c:pt idx="200">
                  <c:v>1.1501343493821472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65-4812-A7B0-598EBCE73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594936"/>
        <c:axId val="939595264"/>
      </c:scatterChart>
      <c:valAx>
        <c:axId val="93959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9595264"/>
        <c:crosses val="autoZero"/>
        <c:crossBetween val="midCat"/>
      </c:valAx>
      <c:valAx>
        <c:axId val="9395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9594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応答係数!$B$2</c:f>
              <c:strCache>
                <c:ptCount val="1"/>
                <c:pt idx="0">
                  <c:v>貫流応答（単位）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応答係数!$B$3:$B$4003</c:f>
              <c:numCache>
                <c:formatCode>0.0000</c:formatCode>
                <c:ptCount val="4001"/>
                <c:pt idx="0">
                  <c:v>9.3452278279105294E-3</c:v>
                </c:pt>
                <c:pt idx="1">
                  <c:v>4.0380597584760598E-3</c:v>
                </c:pt>
                <c:pt idx="2">
                  <c:v>3.7142678091795433E-4</c:v>
                </c:pt>
                <c:pt idx="3">
                  <c:v>-2.0560016814163743E-3</c:v>
                </c:pt>
                <c:pt idx="4">
                  <c:v>-3.5542348064752293E-3</c:v>
                </c:pt>
                <c:pt idx="5">
                  <c:v>-4.3623186643117415E-3</c:v>
                </c:pt>
                <c:pt idx="6">
                  <c:v>-4.6641816315377621E-3</c:v>
                </c:pt>
                <c:pt idx="7">
                  <c:v>-4.6009657595357627E-3</c:v>
                </c:pt>
                <c:pt idx="8">
                  <c:v>-4.2806219504947004E-3</c:v>
                </c:pt>
                <c:pt idx="9">
                  <c:v>-3.7853747012329842E-3</c:v>
                </c:pt>
                <c:pt idx="10">
                  <c:v>-3.1775281497527946E-3</c:v>
                </c:pt>
                <c:pt idx="11">
                  <c:v>-2.5039807826334648E-3</c:v>
                </c:pt>
                <c:pt idx="12">
                  <c:v>-1.7997348743827213E-3</c:v>
                </c:pt>
                <c:pt idx="13">
                  <c:v>-1.0906234251805143E-3</c:v>
                </c:pt>
                <c:pt idx="14">
                  <c:v>-3.9542806331331886E-4</c:v>
                </c:pt>
                <c:pt idx="15">
                  <c:v>2.7247701493605557E-4</c:v>
                </c:pt>
                <c:pt idx="16">
                  <c:v>9.038498946684568E-4</c:v>
                </c:pt>
                <c:pt idx="17">
                  <c:v>1.4925926922053478E-3</c:v>
                </c:pt>
                <c:pt idx="18">
                  <c:v>2.0349864492912807E-3</c:v>
                </c:pt>
                <c:pt idx="19">
                  <c:v>2.5290995361863721E-3</c:v>
                </c:pt>
                <c:pt idx="20">
                  <c:v>2.9743309242636555E-3</c:v>
                </c:pt>
                <c:pt idx="21">
                  <c:v>3.3710582514415006E-3</c:v>
                </c:pt>
                <c:pt idx="22">
                  <c:v>3.7203672715074255E-3</c:v>
                </c:pt>
                <c:pt idx="23">
                  <c:v>4.0238444702968505E-3</c:v>
                </c:pt>
                <c:pt idx="24">
                  <c:v>4.2834186743322209E-3</c:v>
                </c:pt>
                <c:pt idx="25">
                  <c:v>4.5012406251347808E-3</c:v>
                </c:pt>
                <c:pt idx="26">
                  <c:v>4.6795919430489457E-3</c:v>
                </c:pt>
                <c:pt idx="27">
                  <c:v>4.820816812252421E-3</c:v>
                </c:pt>
                <c:pt idx="28">
                  <c:v>4.927271203829001E-3</c:v>
                </c:pt>
                <c:pt idx="29">
                  <c:v>5.0012856098003745E-3</c:v>
                </c:pt>
                <c:pt idx="30">
                  <c:v>5.0451381607688689E-3</c:v>
                </c:pt>
                <c:pt idx="31">
                  <c:v>5.0610357000172674E-3</c:v>
                </c:pt>
                <c:pt idx="32">
                  <c:v>5.0511009316858259E-3</c:v>
                </c:pt>
                <c:pt idx="33">
                  <c:v>5.0173641844636274E-3</c:v>
                </c:pt>
                <c:pt idx="34">
                  <c:v>4.9617586618384271E-3</c:v>
                </c:pt>
                <c:pt idx="35">
                  <c:v>4.8861183062254782E-3</c:v>
                </c:pt>
                <c:pt idx="36">
                  <c:v>4.7921776034915526E-3</c:v>
                </c:pt>
                <c:pt idx="37">
                  <c:v>4.6815728091399687E-3</c:v>
                </c:pt>
                <c:pt idx="38">
                  <c:v>4.5558441976098875E-3</c:v>
                </c:pt>
                <c:pt idx="39">
                  <c:v>4.4164390293936632E-3</c:v>
                </c:pt>
                <c:pt idx="40">
                  <c:v>4.264715003005173E-3</c:v>
                </c:pt>
                <c:pt idx="41">
                  <c:v>4.1019440148718778E-3</c:v>
                </c:pt>
                <c:pt idx="42">
                  <c:v>3.9293160935840662E-3</c:v>
                </c:pt>
                <c:pt idx="43">
                  <c:v>3.7479434084517478E-3</c:v>
                </c:pt>
                <c:pt idx="44">
                  <c:v>3.5588642781943518E-3</c:v>
                </c:pt>
                <c:pt idx="45">
                  <c:v>3.3630471254882956E-3</c:v>
                </c:pt>
                <c:pt idx="46">
                  <c:v>3.161394338406016E-3</c:v>
                </c:pt>
                <c:pt idx="47">
                  <c:v>2.9547460114947724E-3</c:v>
                </c:pt>
                <c:pt idx="48">
                  <c:v>2.743883548171957E-3</c:v>
                </c:pt>
                <c:pt idx="49">
                  <c:v>2.5295331128996389E-3</c:v>
                </c:pt>
                <c:pt idx="50">
                  <c:v>2.3123689267241427E-3</c:v>
                </c:pt>
                <c:pt idx="51">
                  <c:v>2.0930164035839389E-3</c:v>
                </c:pt>
                <c:pt idx="52">
                  <c:v>1.8720551276363703E-3</c:v>
                </c:pt>
                <c:pt idx="53">
                  <c:v>1.6500216739202412E-3</c:v>
                </c:pt>
                <c:pt idx="54">
                  <c:v>1.4274122761534884E-3</c:v>
                </c:pt>
                <c:pt idx="55">
                  <c:v>1.2046853465097558E-3</c:v>
                </c:pt>
                <c:pt idx="56">
                  <c:v>9.8226385289447958E-4</c:v>
                </c:pt>
                <c:pt idx="57">
                  <c:v>7.6053755969286057E-4</c:v>
                </c:pt>
                <c:pt idx="58">
                  <c:v>5.398651381773006E-4</c:v>
                </c:pt>
                <c:pt idx="59">
                  <c:v>3.2057615287313992E-4</c:v>
                </c:pt>
                <c:pt idx="60">
                  <c:v>1.0297293013875453E-4</c:v>
                </c:pt>
                <c:pt idx="61">
                  <c:v>-1.126676848532233E-4</c:v>
                </c:pt>
                <c:pt idx="62">
                  <c:v>-3.2609267673168636E-4</c:v>
                </c:pt>
                <c:pt idx="63">
                  <c:v>-5.3707130830608007E-4</c:v>
                </c:pt>
                <c:pt idx="64">
                  <c:v>-7.4539366310932993E-4</c:v>
                </c:pt>
                <c:pt idx="65">
                  <c:v>-9.5086927673718939E-4</c:v>
                </c:pt>
                <c:pt idx="66">
                  <c:v>-1.153325851863074E-3</c:v>
                </c:pt>
                <c:pt idx="67">
                  <c:v>-1.352608052047972E-3</c:v>
                </c:pt>
                <c:pt idx="68">
                  <c:v>-1.5485763697230918E-3</c:v>
                </c:pt>
                <c:pt idx="69">
                  <c:v>-1.7411060639570223E-3</c:v>
                </c:pt>
                <c:pt idx="70">
                  <c:v>-1.930086163858538E-3</c:v>
                </c:pt>
                <c:pt idx="71">
                  <c:v>-2.1154185336924283E-3</c:v>
                </c:pt>
                <c:pt idx="72">
                  <c:v>-2.2970169960135349E-3</c:v>
                </c:pt>
                <c:pt idx="73">
                  <c:v>-2.4748065093192721E-3</c:v>
                </c:pt>
                <c:pt idx="74">
                  <c:v>-2.6487223969434009E-3</c:v>
                </c:pt>
                <c:pt idx="75">
                  <c:v>-2.8187096240783059E-3</c:v>
                </c:pt>
                <c:pt idx="76">
                  <c:v>-2.9847221200254349E-3</c:v>
                </c:pt>
                <c:pt idx="77">
                  <c:v>-3.1467221429134747E-3</c:v>
                </c:pt>
                <c:pt idx="78">
                  <c:v>-3.3046796843132762E-3</c:v>
                </c:pt>
                <c:pt idx="79">
                  <c:v>-3.4585719113157318E-3</c:v>
                </c:pt>
                <c:pt idx="80">
                  <c:v>-3.6083826437899127E-3</c:v>
                </c:pt>
                <c:pt idx="81">
                  <c:v>-3.754101864676672E-3</c:v>
                </c:pt>
                <c:pt idx="82">
                  <c:v>-3.8957252612954163E-3</c:v>
                </c:pt>
                <c:pt idx="83">
                  <c:v>-4.0332537957742309E-3</c:v>
                </c:pt>
                <c:pt idx="84">
                  <c:v>-4.1666933028156727E-3</c:v>
                </c:pt>
                <c:pt idx="85">
                  <c:v>-4.2960541131258721E-3</c:v>
                </c:pt>
                <c:pt idx="86">
                  <c:v>-4.4213507009355042E-3</c:v>
                </c:pt>
                <c:pt idx="87">
                  <c:v>-4.5426013541301517E-3</c:v>
                </c:pt>
                <c:pt idx="88">
                  <c:v>-4.6598278656075484E-3</c:v>
                </c:pt>
                <c:pt idx="89">
                  <c:v>-4.773055244551321E-3</c:v>
                </c:pt>
                <c:pt idx="90">
                  <c:v>-4.8823114464016529E-3</c:v>
                </c:pt>
                <c:pt idx="91">
                  <c:v>-4.9876271203661907E-3</c:v>
                </c:pt>
                <c:pt idx="92">
                  <c:v>-5.0890353733964201E-3</c:v>
                </c:pt>
                <c:pt idx="93">
                  <c:v>-5.1865715496092991E-3</c:v>
                </c:pt>
                <c:pt idx="94">
                  <c:v>-5.2802730242041736E-3</c:v>
                </c:pt>
                <c:pt idx="95">
                  <c:v>-5.3701790109749736E-3</c:v>
                </c:pt>
                <c:pt idx="96">
                  <c:v>-5.4563303825839781E-3</c:v>
                </c:pt>
                <c:pt idx="97">
                  <c:v>-5.5387695027988952E-3</c:v>
                </c:pt>
                <c:pt idx="98">
                  <c:v>-5.6175400699582673E-3</c:v>
                </c:pt>
                <c:pt idx="99">
                  <c:v>-5.6926869709616164E-3</c:v>
                </c:pt>
                <c:pt idx="100">
                  <c:v>-5.7642561451420214E-3</c:v>
                </c:pt>
                <c:pt idx="101">
                  <c:v>-5.8322944573896843E-3</c:v>
                </c:pt>
                <c:pt idx="102">
                  <c:v>-5.8968495799675245E-3</c:v>
                </c:pt>
                <c:pt idx="103">
                  <c:v>-5.9579698824639964E-3</c:v>
                </c:pt>
                <c:pt idx="104">
                  <c:v>-6.0157043293809012E-3</c:v>
                </c:pt>
                <c:pt idx="105">
                  <c:v>-6.070102384877576E-3</c:v>
                </c:pt>
                <c:pt idx="106">
                  <c:v>-6.121213924221984E-3</c:v>
                </c:pt>
                <c:pt idx="107">
                  <c:v>-6.1690891515286759E-3</c:v>
                </c:pt>
                <c:pt idx="108">
                  <c:v>-6.2137785233894053E-3</c:v>
                </c:pt>
                <c:pt idx="109">
                  <c:v>-6.2553326780215432E-3</c:v>
                </c:pt>
                <c:pt idx="110">
                  <c:v>-6.2938023695899578E-3</c:v>
                </c:pt>
                <c:pt idx="111">
                  <c:v>-6.3292384073749576E-3</c:v>
                </c:pt>
                <c:pt idx="112">
                  <c:v>-6.361691599476792E-3</c:v>
                </c:pt>
                <c:pt idx="113">
                  <c:v>-6.3912127007673784E-3</c:v>
                </c:pt>
                <c:pt idx="114">
                  <c:v>-6.4178523648275379E-3</c:v>
                </c:pt>
                <c:pt idx="115">
                  <c:v>-6.4416610996023277E-3</c:v>
                </c:pt>
                <c:pt idx="116">
                  <c:v>-6.4626892265486251E-3</c:v>
                </c:pt>
                <c:pt idx="117">
                  <c:v>-6.4809868430415196E-3</c:v>
                </c:pt>
                <c:pt idx="118">
                  <c:v>-6.4966037878374074E-3</c:v>
                </c:pt>
                <c:pt idx="119">
                  <c:v>-6.5095896093909514E-3</c:v>
                </c:pt>
                <c:pt idx="120">
                  <c:v>-6.5199935368432781E-3</c:v>
                </c:pt>
                <c:pt idx="121">
                  <c:v>-6.5278644535086685E-3</c:v>
                </c:pt>
                <c:pt idx="122">
                  <c:v>-6.5332508726945468E-3</c:v>
                </c:pt>
                <c:pt idx="123">
                  <c:v>-6.5362009157051417E-3</c:v>
                </c:pt>
                <c:pt idx="124">
                  <c:v>-6.5367622918814849E-3</c:v>
                </c:pt>
                <c:pt idx="125">
                  <c:v>-6.5349822805472564E-3</c:v>
                </c:pt>
                <c:pt idx="126">
                  <c:v>-6.5309077147312523E-3</c:v>
                </c:pt>
                <c:pt idx="127">
                  <c:v>-6.524584966549638E-3</c:v>
                </c:pt>
                <c:pt idx="128">
                  <c:v>-6.5160599341366121E-3</c:v>
                </c:pt>
                <c:pt idx="129">
                  <c:v>-6.5053780300188503E-3</c:v>
                </c:pt>
                <c:pt idx="130">
                  <c:v>-6.492584170837994E-3</c:v>
                </c:pt>
                <c:pt idx="131">
                  <c:v>-6.4777227683252845E-3</c:v>
                </c:pt>
                <c:pt idx="132">
                  <c:v>-6.4608377214476218E-3</c:v>
                </c:pt>
                <c:pt idx="133">
                  <c:v>-6.4419724096413502E-3</c:v>
                </c:pt>
                <c:pt idx="134">
                  <c:v>-6.4211696870591977E-3</c:v>
                </c:pt>
                <c:pt idx="135">
                  <c:v>-6.3984718777582821E-3</c:v>
                </c:pt>
                <c:pt idx="136">
                  <c:v>-6.3739207717662333E-3</c:v>
                </c:pt>
                <c:pt idx="137">
                  <c:v>-6.347557621957294E-3</c:v>
                </c:pt>
                <c:pt idx="138">
                  <c:v>-6.319423141688864E-3</c:v>
                </c:pt>
                <c:pt idx="139">
                  <c:v>-6.2895575031340087E-3</c:v>
                </c:pt>
                <c:pt idx="140">
                  <c:v>-6.2580003362665707E-3</c:v>
                </c:pt>
                <c:pt idx="141">
                  <c:v>-6.2247907284458696E-3</c:v>
                </c:pt>
                <c:pt idx="142">
                  <c:v>-6.1899672245603688E-3</c:v>
                </c:pt>
                <c:pt idx="143">
                  <c:v>-6.1535678276851032E-3</c:v>
                </c:pt>
                <c:pt idx="144">
                  <c:v>-6.1156300002123323E-3</c:v>
                </c:pt>
                <c:pt idx="145">
                  <c:v>-6.0761906654250939E-3</c:v>
                </c:pt>
                <c:pt idx="146">
                  <c:v>-6.0352862094718183E-3</c:v>
                </c:pt>
                <c:pt idx="147">
                  <c:v>-5.9929524837125043E-3</c:v>
                </c:pt>
                <c:pt idx="148">
                  <c:v>-5.9492248074074303E-3</c:v>
                </c:pt>
                <c:pt idx="149">
                  <c:v>-5.9041379707195562E-3</c:v>
                </c:pt>
                <c:pt idx="150">
                  <c:v>-5.8577262380033216E-3</c:v>
                </c:pt>
                <c:pt idx="151">
                  <c:v>-5.8100233513544066E-3</c:v>
                </c:pt>
                <c:pt idx="152">
                  <c:v>-5.7610625344009974E-3</c:v>
                </c:pt>
                <c:pt idx="153">
                  <c:v>-5.7108764963093618E-3</c:v>
                </c:pt>
                <c:pt idx="154">
                  <c:v>-5.6594974359913163E-3</c:v>
                </c:pt>
                <c:pt idx="155">
                  <c:v>-5.6069570464843867E-3</c:v>
                </c:pt>
                <c:pt idx="156">
                  <c:v>-5.553286519497584E-3</c:v>
                </c:pt>
                <c:pt idx="157">
                  <c:v>-5.4985165500997879E-3</c:v>
                </c:pt>
                <c:pt idx="158">
                  <c:v>-5.4426773415369558E-3</c:v>
                </c:pt>
                <c:pt idx="159">
                  <c:v>-5.3857986101646053E-3</c:v>
                </c:pt>
                <c:pt idx="160">
                  <c:v>-5.3279095904827318E-3</c:v>
                </c:pt>
                <c:pt idx="161">
                  <c:v>-5.2690390402569259E-3</c:v>
                </c:pt>
                <c:pt idx="162">
                  <c:v>-5.2092152457222582E-3</c:v>
                </c:pt>
                <c:pt idx="163">
                  <c:v>-5.148466026847669E-3</c:v>
                </c:pt>
                <c:pt idx="164">
                  <c:v>-5.0868187426615389E-3</c:v>
                </c:pt>
                <c:pt idx="165">
                  <c:v>-5.0243002966233073E-3</c:v>
                </c:pt>
                <c:pt idx="166">
                  <c:v>-4.96093714203412E-3</c:v>
                </c:pt>
                <c:pt idx="167">
                  <c:v>-4.8967552874774585E-3</c:v>
                </c:pt>
                <c:pt idx="168">
                  <c:v>-4.8317803022833814E-3</c:v>
                </c:pt>
                <c:pt idx="169">
                  <c:v>-4.7660373220098492E-3</c:v>
                </c:pt>
                <c:pt idx="170">
                  <c:v>-4.699551053932576E-3</c:v>
                </c:pt>
                <c:pt idx="171">
                  <c:v>-4.6323457825398692E-3</c:v>
                </c:pt>
                <c:pt idx="172">
                  <c:v>-4.5644453750249211E-3</c:v>
                </c:pt>
                <c:pt idx="173">
                  <c:v>-4.4958732867727263E-3</c:v>
                </c:pt>
                <c:pt idx="174">
                  <c:v>-4.4266525668344983E-3</c:v>
                </c:pt>
                <c:pt idx="175">
                  <c:v>-4.3568058633861057E-3</c:v>
                </c:pt>
                <c:pt idx="176">
                  <c:v>-4.2863554291679143E-3</c:v>
                </c:pt>
                <c:pt idx="177">
                  <c:v>-4.2153231269005968E-3</c:v>
                </c:pt>
                <c:pt idx="178">
                  <c:v>-4.1437304346747458E-3</c:v>
                </c:pt>
                <c:pt idx="179">
                  <c:v>-4.0715984513074559E-3</c:v>
                </c:pt>
                <c:pt idx="180">
                  <c:v>-3.9989479016720956E-3</c:v>
                </c:pt>
                <c:pt idx="181">
                  <c:v>-3.9257991419876671E-3</c:v>
                </c:pt>
                <c:pt idx="182">
                  <c:v>-3.852172165071526E-3</c:v>
                </c:pt>
                <c:pt idx="183">
                  <c:v>-3.7780866055539828E-3</c:v>
                </c:pt>
                <c:pt idx="184">
                  <c:v>-3.7035617450491398E-3</c:v>
                </c:pt>
                <c:pt idx="185">
                  <c:v>-3.6286165172845436E-3</c:v>
                </c:pt>
                <c:pt idx="186">
                  <c:v>-3.5532695131810753E-3</c:v>
                </c:pt>
                <c:pt idx="187">
                  <c:v>-3.4775389858917108E-3</c:v>
                </c:pt>
                <c:pt idx="188">
                  <c:v>-3.401442855789557E-3</c:v>
                </c:pt>
                <c:pt idx="189">
                  <c:v>-3.3249987154059294E-3</c:v>
                </c:pt>
                <c:pt idx="190">
                  <c:v>-3.2482238343212689E-3</c:v>
                </c:pt>
                <c:pt idx="191">
                  <c:v>-3.1711351640018167E-3</c:v>
                </c:pt>
                <c:pt idx="192">
                  <c:v>-3.0937493425876239E-3</c:v>
                </c:pt>
                <c:pt idx="193">
                  <c:v>-3.0160826996261077E-3</c:v>
                </c:pt>
                <c:pt idx="194">
                  <c:v>-2.9381512607542554E-3</c:v>
                </c:pt>
                <c:pt idx="195">
                  <c:v>-2.8599707523254813E-3</c:v>
                </c:pt>
                <c:pt idx="196">
                  <c:v>-2.7815566059842356E-3</c:v>
                </c:pt>
                <c:pt idx="197">
                  <c:v>-2.7029239631875058E-3</c:v>
                </c:pt>
                <c:pt idx="198">
                  <c:v>-2.6240876796679814E-3</c:v>
                </c:pt>
                <c:pt idx="199">
                  <c:v>-2.5450623298482137E-3</c:v>
                </c:pt>
                <c:pt idx="200">
                  <c:v>-2.4658622111952528E-3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A0-45A9-933E-269A94FB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869528"/>
        <c:axId val="908869856"/>
      </c:scatterChart>
      <c:valAx>
        <c:axId val="90886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8869856"/>
        <c:crosses val="autoZero"/>
        <c:crossBetween val="midCat"/>
      </c:valAx>
      <c:valAx>
        <c:axId val="90886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8869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応答係数!$B$2</c:f>
              <c:strCache>
                <c:ptCount val="1"/>
                <c:pt idx="0">
                  <c:v>貫流応答（単位）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応答係数!$B$3:$B$4003</c:f>
              <c:numCache>
                <c:formatCode>0.0000</c:formatCode>
                <c:ptCount val="4001"/>
                <c:pt idx="0">
                  <c:v>9.3452278279105294E-3</c:v>
                </c:pt>
                <c:pt idx="1">
                  <c:v>4.0380597584760598E-3</c:v>
                </c:pt>
                <c:pt idx="2">
                  <c:v>3.7142678091795433E-4</c:v>
                </c:pt>
                <c:pt idx="3">
                  <c:v>-2.0560016814163743E-3</c:v>
                </c:pt>
                <c:pt idx="4">
                  <c:v>-3.5542348064752293E-3</c:v>
                </c:pt>
                <c:pt idx="5">
                  <c:v>-4.3623186643117415E-3</c:v>
                </c:pt>
                <c:pt idx="6">
                  <c:v>-4.6641816315377621E-3</c:v>
                </c:pt>
                <c:pt idx="7">
                  <c:v>-4.6009657595357627E-3</c:v>
                </c:pt>
                <c:pt idx="8">
                  <c:v>-4.2806219504947004E-3</c:v>
                </c:pt>
                <c:pt idx="9">
                  <c:v>-3.7853747012329842E-3</c:v>
                </c:pt>
                <c:pt idx="10">
                  <c:v>-3.1775281497527946E-3</c:v>
                </c:pt>
                <c:pt idx="11">
                  <c:v>-2.5039807826334648E-3</c:v>
                </c:pt>
                <c:pt idx="12">
                  <c:v>-1.7997348743827213E-3</c:v>
                </c:pt>
                <c:pt idx="13">
                  <c:v>-1.0906234251805143E-3</c:v>
                </c:pt>
                <c:pt idx="14">
                  <c:v>-3.9542806331331886E-4</c:v>
                </c:pt>
                <c:pt idx="15">
                  <c:v>2.7247701493605557E-4</c:v>
                </c:pt>
                <c:pt idx="16">
                  <c:v>9.038498946684568E-4</c:v>
                </c:pt>
                <c:pt idx="17">
                  <c:v>1.4925926922053478E-3</c:v>
                </c:pt>
                <c:pt idx="18">
                  <c:v>2.0349864492912807E-3</c:v>
                </c:pt>
                <c:pt idx="19">
                  <c:v>2.5290995361863721E-3</c:v>
                </c:pt>
                <c:pt idx="20">
                  <c:v>2.9743309242636555E-3</c:v>
                </c:pt>
                <c:pt idx="21">
                  <c:v>3.3710582514415006E-3</c:v>
                </c:pt>
                <c:pt idx="22">
                  <c:v>3.7203672715074255E-3</c:v>
                </c:pt>
                <c:pt idx="23">
                  <c:v>4.0238444702968505E-3</c:v>
                </c:pt>
                <c:pt idx="24">
                  <c:v>4.2834186743322209E-3</c:v>
                </c:pt>
                <c:pt idx="25">
                  <c:v>4.5012406251347808E-3</c:v>
                </c:pt>
                <c:pt idx="26">
                  <c:v>4.6795919430489457E-3</c:v>
                </c:pt>
                <c:pt idx="27">
                  <c:v>4.820816812252421E-3</c:v>
                </c:pt>
                <c:pt idx="28">
                  <c:v>4.927271203829001E-3</c:v>
                </c:pt>
                <c:pt idx="29">
                  <c:v>5.0012856098003745E-3</c:v>
                </c:pt>
                <c:pt idx="30">
                  <c:v>5.0451381607688689E-3</c:v>
                </c:pt>
                <c:pt idx="31">
                  <c:v>5.0610357000172674E-3</c:v>
                </c:pt>
                <c:pt idx="32">
                  <c:v>5.0511009316858259E-3</c:v>
                </c:pt>
                <c:pt idx="33">
                  <c:v>5.0173641844636274E-3</c:v>
                </c:pt>
                <c:pt idx="34">
                  <c:v>4.9617586618384271E-3</c:v>
                </c:pt>
                <c:pt idx="35">
                  <c:v>4.8861183062254782E-3</c:v>
                </c:pt>
                <c:pt idx="36">
                  <c:v>4.7921776034915526E-3</c:v>
                </c:pt>
                <c:pt idx="37">
                  <c:v>4.6815728091399687E-3</c:v>
                </c:pt>
                <c:pt idx="38">
                  <c:v>4.5558441976098875E-3</c:v>
                </c:pt>
                <c:pt idx="39">
                  <c:v>4.4164390293936632E-3</c:v>
                </c:pt>
                <c:pt idx="40">
                  <c:v>4.264715003005173E-3</c:v>
                </c:pt>
                <c:pt idx="41">
                  <c:v>4.1019440148718778E-3</c:v>
                </c:pt>
                <c:pt idx="42">
                  <c:v>3.9293160935840662E-3</c:v>
                </c:pt>
                <c:pt idx="43">
                  <c:v>3.7479434084517478E-3</c:v>
                </c:pt>
                <c:pt idx="44">
                  <c:v>3.5588642781943518E-3</c:v>
                </c:pt>
                <c:pt idx="45">
                  <c:v>3.3630471254882956E-3</c:v>
                </c:pt>
                <c:pt idx="46">
                  <c:v>3.161394338406016E-3</c:v>
                </c:pt>
                <c:pt idx="47">
                  <c:v>2.9547460114947724E-3</c:v>
                </c:pt>
                <c:pt idx="48">
                  <c:v>2.743883548171957E-3</c:v>
                </c:pt>
                <c:pt idx="49">
                  <c:v>2.5295331128996389E-3</c:v>
                </c:pt>
                <c:pt idx="50">
                  <c:v>2.3123689267241427E-3</c:v>
                </c:pt>
                <c:pt idx="51">
                  <c:v>2.0930164035839389E-3</c:v>
                </c:pt>
                <c:pt idx="52">
                  <c:v>1.8720551276363703E-3</c:v>
                </c:pt>
                <c:pt idx="53">
                  <c:v>1.6500216739202412E-3</c:v>
                </c:pt>
                <c:pt idx="54">
                  <c:v>1.4274122761534884E-3</c:v>
                </c:pt>
                <c:pt idx="55">
                  <c:v>1.2046853465097558E-3</c:v>
                </c:pt>
                <c:pt idx="56">
                  <c:v>9.8226385289447958E-4</c:v>
                </c:pt>
                <c:pt idx="57">
                  <c:v>7.6053755969286057E-4</c:v>
                </c:pt>
                <c:pt idx="58">
                  <c:v>5.398651381773006E-4</c:v>
                </c:pt>
                <c:pt idx="59">
                  <c:v>3.2057615287313992E-4</c:v>
                </c:pt>
                <c:pt idx="60">
                  <c:v>1.0297293013875453E-4</c:v>
                </c:pt>
                <c:pt idx="61">
                  <c:v>-1.126676848532233E-4</c:v>
                </c:pt>
                <c:pt idx="62">
                  <c:v>-3.2609267673168636E-4</c:v>
                </c:pt>
                <c:pt idx="63">
                  <c:v>-5.3707130830608007E-4</c:v>
                </c:pt>
                <c:pt idx="64">
                  <c:v>-7.4539366310932993E-4</c:v>
                </c:pt>
                <c:pt idx="65">
                  <c:v>-9.5086927673718939E-4</c:v>
                </c:pt>
                <c:pt idx="66">
                  <c:v>-1.153325851863074E-3</c:v>
                </c:pt>
                <c:pt idx="67">
                  <c:v>-1.352608052047972E-3</c:v>
                </c:pt>
                <c:pt idx="68">
                  <c:v>-1.5485763697230918E-3</c:v>
                </c:pt>
                <c:pt idx="69">
                  <c:v>-1.7411060639570223E-3</c:v>
                </c:pt>
                <c:pt idx="70">
                  <c:v>-1.930086163858538E-3</c:v>
                </c:pt>
                <c:pt idx="71">
                  <c:v>-2.1154185336924283E-3</c:v>
                </c:pt>
                <c:pt idx="72">
                  <c:v>-2.2970169960135349E-3</c:v>
                </c:pt>
                <c:pt idx="73">
                  <c:v>-2.4748065093192721E-3</c:v>
                </c:pt>
                <c:pt idx="74">
                  <c:v>-2.6487223969434009E-3</c:v>
                </c:pt>
                <c:pt idx="75">
                  <c:v>-2.8187096240783059E-3</c:v>
                </c:pt>
                <c:pt idx="76">
                  <c:v>-2.9847221200254349E-3</c:v>
                </c:pt>
                <c:pt idx="77">
                  <c:v>-3.1467221429134747E-3</c:v>
                </c:pt>
                <c:pt idx="78">
                  <c:v>-3.3046796843132762E-3</c:v>
                </c:pt>
                <c:pt idx="79">
                  <c:v>-3.4585719113157318E-3</c:v>
                </c:pt>
                <c:pt idx="80">
                  <c:v>-3.6083826437899127E-3</c:v>
                </c:pt>
                <c:pt idx="81">
                  <c:v>-3.754101864676672E-3</c:v>
                </c:pt>
                <c:pt idx="82">
                  <c:v>-3.8957252612954163E-3</c:v>
                </c:pt>
                <c:pt idx="83">
                  <c:v>-4.0332537957742309E-3</c:v>
                </c:pt>
                <c:pt idx="84">
                  <c:v>-4.1666933028156727E-3</c:v>
                </c:pt>
                <c:pt idx="85">
                  <c:v>-4.2960541131258721E-3</c:v>
                </c:pt>
                <c:pt idx="86">
                  <c:v>-4.4213507009355042E-3</c:v>
                </c:pt>
                <c:pt idx="87">
                  <c:v>-4.5426013541301517E-3</c:v>
                </c:pt>
                <c:pt idx="88">
                  <c:v>-4.6598278656075484E-3</c:v>
                </c:pt>
                <c:pt idx="89">
                  <c:v>-4.773055244551321E-3</c:v>
                </c:pt>
                <c:pt idx="90">
                  <c:v>-4.8823114464016529E-3</c:v>
                </c:pt>
                <c:pt idx="91">
                  <c:v>-4.9876271203661907E-3</c:v>
                </c:pt>
                <c:pt idx="92">
                  <c:v>-5.0890353733964201E-3</c:v>
                </c:pt>
                <c:pt idx="93">
                  <c:v>-5.1865715496092991E-3</c:v>
                </c:pt>
                <c:pt idx="94">
                  <c:v>-5.2802730242041736E-3</c:v>
                </c:pt>
                <c:pt idx="95">
                  <c:v>-5.3701790109749736E-3</c:v>
                </c:pt>
                <c:pt idx="96">
                  <c:v>-5.4563303825839781E-3</c:v>
                </c:pt>
                <c:pt idx="97">
                  <c:v>-5.5387695027988952E-3</c:v>
                </c:pt>
                <c:pt idx="98">
                  <c:v>-5.6175400699582673E-3</c:v>
                </c:pt>
                <c:pt idx="99">
                  <c:v>-5.6926869709616164E-3</c:v>
                </c:pt>
                <c:pt idx="100">
                  <c:v>-5.7642561451420214E-3</c:v>
                </c:pt>
                <c:pt idx="101">
                  <c:v>-5.8322944573896843E-3</c:v>
                </c:pt>
                <c:pt idx="102">
                  <c:v>-5.8968495799675245E-3</c:v>
                </c:pt>
                <c:pt idx="103">
                  <c:v>-5.9579698824639964E-3</c:v>
                </c:pt>
                <c:pt idx="104">
                  <c:v>-6.0157043293809012E-3</c:v>
                </c:pt>
                <c:pt idx="105">
                  <c:v>-6.070102384877576E-3</c:v>
                </c:pt>
                <c:pt idx="106">
                  <c:v>-6.121213924221984E-3</c:v>
                </c:pt>
                <c:pt idx="107">
                  <c:v>-6.1690891515286759E-3</c:v>
                </c:pt>
                <c:pt idx="108">
                  <c:v>-6.2137785233894053E-3</c:v>
                </c:pt>
                <c:pt idx="109">
                  <c:v>-6.2553326780215432E-3</c:v>
                </c:pt>
                <c:pt idx="110">
                  <c:v>-6.2938023695899578E-3</c:v>
                </c:pt>
                <c:pt idx="111">
                  <c:v>-6.3292384073749576E-3</c:v>
                </c:pt>
                <c:pt idx="112">
                  <c:v>-6.361691599476792E-3</c:v>
                </c:pt>
                <c:pt idx="113">
                  <c:v>-6.3912127007673784E-3</c:v>
                </c:pt>
                <c:pt idx="114">
                  <c:v>-6.4178523648275379E-3</c:v>
                </c:pt>
                <c:pt idx="115">
                  <c:v>-6.4416610996023277E-3</c:v>
                </c:pt>
                <c:pt idx="116">
                  <c:v>-6.4626892265486251E-3</c:v>
                </c:pt>
                <c:pt idx="117">
                  <c:v>-6.4809868430415196E-3</c:v>
                </c:pt>
                <c:pt idx="118">
                  <c:v>-6.4966037878374074E-3</c:v>
                </c:pt>
                <c:pt idx="119">
                  <c:v>-6.5095896093909514E-3</c:v>
                </c:pt>
                <c:pt idx="120">
                  <c:v>-6.5199935368432781E-3</c:v>
                </c:pt>
                <c:pt idx="121">
                  <c:v>-6.5278644535086685E-3</c:v>
                </c:pt>
                <c:pt idx="122">
                  <c:v>-6.5332508726945468E-3</c:v>
                </c:pt>
                <c:pt idx="123">
                  <c:v>-6.5362009157051417E-3</c:v>
                </c:pt>
                <c:pt idx="124">
                  <c:v>-6.5367622918814849E-3</c:v>
                </c:pt>
                <c:pt idx="125">
                  <c:v>-6.5349822805472564E-3</c:v>
                </c:pt>
                <c:pt idx="126">
                  <c:v>-6.5309077147312523E-3</c:v>
                </c:pt>
                <c:pt idx="127">
                  <c:v>-6.524584966549638E-3</c:v>
                </c:pt>
                <c:pt idx="128">
                  <c:v>-6.5160599341366121E-3</c:v>
                </c:pt>
                <c:pt idx="129">
                  <c:v>-6.5053780300188503E-3</c:v>
                </c:pt>
                <c:pt idx="130">
                  <c:v>-6.492584170837994E-3</c:v>
                </c:pt>
                <c:pt idx="131">
                  <c:v>-6.4777227683252845E-3</c:v>
                </c:pt>
                <c:pt idx="132">
                  <c:v>-6.4608377214476218E-3</c:v>
                </c:pt>
                <c:pt idx="133">
                  <c:v>-6.4419724096413502E-3</c:v>
                </c:pt>
                <c:pt idx="134">
                  <c:v>-6.4211696870591977E-3</c:v>
                </c:pt>
                <c:pt idx="135">
                  <c:v>-6.3984718777582821E-3</c:v>
                </c:pt>
                <c:pt idx="136">
                  <c:v>-6.3739207717662333E-3</c:v>
                </c:pt>
                <c:pt idx="137">
                  <c:v>-6.347557621957294E-3</c:v>
                </c:pt>
                <c:pt idx="138">
                  <c:v>-6.319423141688864E-3</c:v>
                </c:pt>
                <c:pt idx="139">
                  <c:v>-6.2895575031340087E-3</c:v>
                </c:pt>
                <c:pt idx="140">
                  <c:v>-6.2580003362665707E-3</c:v>
                </c:pt>
                <c:pt idx="141">
                  <c:v>-6.2247907284458696E-3</c:v>
                </c:pt>
                <c:pt idx="142">
                  <c:v>-6.1899672245603688E-3</c:v>
                </c:pt>
                <c:pt idx="143">
                  <c:v>-6.1535678276851032E-3</c:v>
                </c:pt>
                <c:pt idx="144">
                  <c:v>-6.1156300002123323E-3</c:v>
                </c:pt>
                <c:pt idx="145">
                  <c:v>-6.0761906654250939E-3</c:v>
                </c:pt>
                <c:pt idx="146">
                  <c:v>-6.0352862094718183E-3</c:v>
                </c:pt>
                <c:pt idx="147">
                  <c:v>-5.9929524837125043E-3</c:v>
                </c:pt>
                <c:pt idx="148">
                  <c:v>-5.9492248074074303E-3</c:v>
                </c:pt>
                <c:pt idx="149">
                  <c:v>-5.9041379707195562E-3</c:v>
                </c:pt>
                <c:pt idx="150">
                  <c:v>-5.8577262380033216E-3</c:v>
                </c:pt>
                <c:pt idx="151">
                  <c:v>-5.8100233513544066E-3</c:v>
                </c:pt>
                <c:pt idx="152">
                  <c:v>-5.7610625344009974E-3</c:v>
                </c:pt>
                <c:pt idx="153">
                  <c:v>-5.7108764963093618E-3</c:v>
                </c:pt>
                <c:pt idx="154">
                  <c:v>-5.6594974359913163E-3</c:v>
                </c:pt>
                <c:pt idx="155">
                  <c:v>-5.6069570464843867E-3</c:v>
                </c:pt>
                <c:pt idx="156">
                  <c:v>-5.553286519497584E-3</c:v>
                </c:pt>
                <c:pt idx="157">
                  <c:v>-5.4985165500997879E-3</c:v>
                </c:pt>
                <c:pt idx="158">
                  <c:v>-5.4426773415369558E-3</c:v>
                </c:pt>
                <c:pt idx="159">
                  <c:v>-5.3857986101646053E-3</c:v>
                </c:pt>
                <c:pt idx="160">
                  <c:v>-5.3279095904827318E-3</c:v>
                </c:pt>
                <c:pt idx="161">
                  <c:v>-5.2690390402569259E-3</c:v>
                </c:pt>
                <c:pt idx="162">
                  <c:v>-5.2092152457222582E-3</c:v>
                </c:pt>
                <c:pt idx="163">
                  <c:v>-5.148466026847669E-3</c:v>
                </c:pt>
                <c:pt idx="164">
                  <c:v>-5.0868187426615389E-3</c:v>
                </c:pt>
                <c:pt idx="165">
                  <c:v>-5.0243002966233073E-3</c:v>
                </c:pt>
                <c:pt idx="166">
                  <c:v>-4.96093714203412E-3</c:v>
                </c:pt>
                <c:pt idx="167">
                  <c:v>-4.8967552874774585E-3</c:v>
                </c:pt>
                <c:pt idx="168">
                  <c:v>-4.8317803022833814E-3</c:v>
                </c:pt>
                <c:pt idx="169">
                  <c:v>-4.7660373220098492E-3</c:v>
                </c:pt>
                <c:pt idx="170">
                  <c:v>-4.699551053932576E-3</c:v>
                </c:pt>
                <c:pt idx="171">
                  <c:v>-4.6323457825398692E-3</c:v>
                </c:pt>
                <c:pt idx="172">
                  <c:v>-4.5644453750249211E-3</c:v>
                </c:pt>
                <c:pt idx="173">
                  <c:v>-4.4958732867727263E-3</c:v>
                </c:pt>
                <c:pt idx="174">
                  <c:v>-4.4266525668344983E-3</c:v>
                </c:pt>
                <c:pt idx="175">
                  <c:v>-4.3568058633861057E-3</c:v>
                </c:pt>
                <c:pt idx="176">
                  <c:v>-4.2863554291679143E-3</c:v>
                </c:pt>
                <c:pt idx="177">
                  <c:v>-4.2153231269005968E-3</c:v>
                </c:pt>
                <c:pt idx="178">
                  <c:v>-4.1437304346747458E-3</c:v>
                </c:pt>
                <c:pt idx="179">
                  <c:v>-4.0715984513074559E-3</c:v>
                </c:pt>
                <c:pt idx="180">
                  <c:v>-3.9989479016720956E-3</c:v>
                </c:pt>
                <c:pt idx="181">
                  <c:v>-3.9257991419876671E-3</c:v>
                </c:pt>
                <c:pt idx="182">
                  <c:v>-3.852172165071526E-3</c:v>
                </c:pt>
                <c:pt idx="183">
                  <c:v>-3.7780866055539828E-3</c:v>
                </c:pt>
                <c:pt idx="184">
                  <c:v>-3.7035617450491398E-3</c:v>
                </c:pt>
                <c:pt idx="185">
                  <c:v>-3.6286165172845436E-3</c:v>
                </c:pt>
                <c:pt idx="186">
                  <c:v>-3.5532695131810753E-3</c:v>
                </c:pt>
                <c:pt idx="187">
                  <c:v>-3.4775389858917108E-3</c:v>
                </c:pt>
                <c:pt idx="188">
                  <c:v>-3.401442855789557E-3</c:v>
                </c:pt>
                <c:pt idx="189">
                  <c:v>-3.3249987154059294E-3</c:v>
                </c:pt>
                <c:pt idx="190">
                  <c:v>-3.2482238343212689E-3</c:v>
                </c:pt>
                <c:pt idx="191">
                  <c:v>-3.1711351640018167E-3</c:v>
                </c:pt>
                <c:pt idx="192">
                  <c:v>-3.0937493425876239E-3</c:v>
                </c:pt>
                <c:pt idx="193">
                  <c:v>-3.0160826996261077E-3</c:v>
                </c:pt>
                <c:pt idx="194">
                  <c:v>-2.9381512607542554E-3</c:v>
                </c:pt>
                <c:pt idx="195">
                  <c:v>-2.8599707523254813E-3</c:v>
                </c:pt>
                <c:pt idx="196">
                  <c:v>-2.7815566059842356E-3</c:v>
                </c:pt>
                <c:pt idx="197">
                  <c:v>-2.7029239631875058E-3</c:v>
                </c:pt>
                <c:pt idx="198">
                  <c:v>-2.6240876796679814E-3</c:v>
                </c:pt>
                <c:pt idx="199">
                  <c:v>-2.5450623298482137E-3</c:v>
                </c:pt>
                <c:pt idx="200">
                  <c:v>-2.4658622111952528E-3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A-4654-B215-C5C30C02BF59}"/>
            </c:ext>
          </c:extLst>
        </c:ser>
        <c:ser>
          <c:idx val="1"/>
          <c:order val="1"/>
          <c:tx>
            <c:strRef>
              <c:f>応答係数!$C$2</c:f>
              <c:strCache>
                <c:ptCount val="1"/>
                <c:pt idx="0">
                  <c:v>吸熱応答（単位）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応答係数!$C$3:$C$4003</c:f>
              <c:numCache>
                <c:formatCode>0.0000</c:formatCode>
                <c:ptCount val="4001"/>
                <c:pt idx="0">
                  <c:v>0.69016242634654157</c:v>
                </c:pt>
                <c:pt idx="1">
                  <c:v>0.75677750919903009</c:v>
                </c:pt>
                <c:pt idx="2">
                  <c:v>0.80814560716693373</c:v>
                </c:pt>
                <c:pt idx="3">
                  <c:v>0.8476966381795572</c:v>
                </c:pt>
                <c:pt idx="4">
                  <c:v>0.87809810315485626</c:v>
                </c:pt>
                <c:pt idx="5">
                  <c:v>0.90142396117153589</c:v>
                </c:pt>
                <c:pt idx="6">
                  <c:v>0.9192861356303822</c:v>
                </c:pt>
                <c:pt idx="7">
                  <c:v>0.9329369182513001</c:v>
                </c:pt>
                <c:pt idx="8">
                  <c:v>0.94334870908007284</c:v>
                </c:pt>
                <c:pt idx="9">
                  <c:v>0.95127610651070338</c:v>
                </c:pt>
                <c:pt idx="10">
                  <c:v>0.95730425218909787</c:v>
                </c:pt>
                <c:pt idx="11">
                  <c:v>0.9618864718675274</c:v>
                </c:pt>
                <c:pt idx="12">
                  <c:v>0.96537358055680556</c:v>
                </c:pt>
                <c:pt idx="13">
                  <c:v>0.96803669640879775</c:v>
                </c:pt>
                <c:pt idx="14">
                  <c:v>0.97008499973936713</c:v>
                </c:pt>
                <c:pt idx="15">
                  <c:v>0.97167955583578591</c:v>
                </c:pt>
                <c:pt idx="16">
                  <c:v>0.97294407271825367</c:v>
                </c:pt>
                <c:pt idx="17">
                  <c:v>0.97397327229379405</c:v>
                </c:pt>
                <c:pt idx="18">
                  <c:v>0.97483940324330087</c:v>
                </c:pt>
                <c:pt idx="19">
                  <c:v>0.97559730708811887</c:v>
                </c:pt>
                <c:pt idx="20">
                  <c:v>0.97628835784666157</c:v>
                </c:pt>
                <c:pt idx="21">
                  <c:v>0.97694352479427404</c:v>
                </c:pt>
                <c:pt idx="22">
                  <c:v>0.97758575262604241</c:v>
                </c:pt>
                <c:pt idx="23">
                  <c:v>0.9782318103232106</c:v>
                </c:pt>
                <c:pt idx="24">
                  <c:v>0.97889372653747253</c:v>
                </c:pt>
                <c:pt idx="25">
                  <c:v>0.97957990322919908</c:v>
                </c:pt>
                <c:pt idx="26">
                  <c:v>0.98029597898718079</c:v>
                </c:pt>
                <c:pt idx="27">
                  <c:v>0.98104549764202609</c:v>
                </c:pt>
                <c:pt idx="28">
                  <c:v>0.98183042546938559</c:v>
                </c:pt>
                <c:pt idx="29">
                  <c:v>0.98265155068827681</c:v>
                </c:pt>
                <c:pt idx="30">
                  <c:v>0.98350879149127191</c:v>
                </c:pt>
                <c:pt idx="31">
                  <c:v>0.9844014330275952</c:v>
                </c:pt>
                <c:pt idx="32">
                  <c:v>0.98532830923161885</c:v>
                </c:pt>
                <c:pt idx="33">
                  <c:v>0.98628794186314628</c:v>
                </c:pt>
                <c:pt idx="34">
                  <c:v>0.98727864638031515</c:v>
                </c:pt>
                <c:pt idx="35">
                  <c:v>0.98829861212837578</c:v>
                </c:pt>
                <c:pt idx="36">
                  <c:v>0.98934596266344366</c:v>
                </c:pt>
                <c:pt idx="37">
                  <c:v>0.99041880073473676</c:v>
                </c:pt>
                <c:pt idx="38">
                  <c:v>0.99151524144041259</c:v>
                </c:pt>
                <c:pt idx="39">
                  <c:v>0.99263343628717415</c:v>
                </c:pt>
                <c:pt idx="40">
                  <c:v>0.99377159027297701</c:v>
                </c:pt>
                <c:pt idx="41">
                  <c:v>0.994927973636903</c:v>
                </c:pt>
                <c:pt idx="42">
                  <c:v>0.9961009295504375</c:v>
                </c:pt>
                <c:pt idx="43">
                  <c:v>0.99728887873681926</c:v>
                </c:pt>
                <c:pt idx="44">
                  <c:v>0.99849032178148411</c:v>
                </c:pt>
                <c:pt idx="45">
                  <c:v>0.999703839722758</c:v>
                </c:pt>
                <c:pt idx="46">
                  <c:v>1.0009280933769082</c:v>
                </c:pt>
                <c:pt idx="47">
                  <c:v>1.0021618217466994</c:v>
                </c:pt>
                <c:pt idx="48">
                  <c:v>1.0034038397812097</c:v>
                </c:pt>
                <c:pt idx="49">
                  <c:v>1.0046530356914642</c:v>
                </c:pt>
                <c:pt idx="50">
                  <c:v>1.0059083679774994</c:v>
                </c:pt>
                <c:pt idx="51">
                  <c:v>1.0071688622845631</c:v>
                </c:pt>
                <c:pt idx="52">
                  <c:v>1.0084336081768559</c:v>
                </c:pt>
                <c:pt idx="53">
                  <c:v>1.0097017558945827</c:v>
                </c:pt>
                <c:pt idx="54">
                  <c:v>1.0109725131426543</c:v>
                </c:pt>
                <c:pt idx="55">
                  <c:v>1.0122451419459748</c:v>
                </c:pt>
                <c:pt idx="56">
                  <c:v>1.0135189555959758</c:v>
                </c:pt>
                <c:pt idx="57">
                  <c:v>1.0147933157052065</c:v>
                </c:pt>
                <c:pt idx="58">
                  <c:v>1.0160676293808346</c:v>
                </c:pt>
                <c:pt idx="59">
                  <c:v>1.0173413465233829</c:v>
                </c:pt>
                <c:pt idx="60">
                  <c:v>1.0186139572536648</c:v>
                </c:pt>
                <c:pt idx="61">
                  <c:v>1.0198849894683457</c:v>
                </c:pt>
                <c:pt idx="62">
                  <c:v>1.0211540065227209</c:v>
                </c:pt>
                <c:pt idx="63">
                  <c:v>1.0224206050379798</c:v>
                </c:pt>
                <c:pt idx="64">
                  <c:v>1.0236844128292533</c:v>
                </c:pt>
                <c:pt idx="65">
                  <c:v>1.0249450869501502</c:v>
                </c:pt>
                <c:pt idx="66">
                  <c:v>1.0262023118490453</c:v>
                </c:pt>
                <c:pt idx="67">
                  <c:v>1.0274557976321652</c:v>
                </c:pt>
                <c:pt idx="68">
                  <c:v>1.0287052784284068</c:v>
                </c:pt>
                <c:pt idx="69">
                  <c:v>1.0299505108508118</c:v>
                </c:pt>
                <c:pt idx="70">
                  <c:v>1.0311912725496928</c:v>
                </c:pt>
                <c:pt idx="71">
                  <c:v>1.0324273608524943</c:v>
                </c:pt>
                <c:pt idx="72">
                  <c:v>1.0336585914856642</c:v>
                </c:pt>
                <c:pt idx="73">
                  <c:v>1.0348847973739277</c:v>
                </c:pt>
                <c:pt idx="74">
                  <c:v>1.0361058275125781</c:v>
                </c:pt>
                <c:pt idx="75">
                  <c:v>1.0373215459086063</c:v>
                </c:pt>
                <c:pt idx="76">
                  <c:v>1.038531830586642</c:v>
                </c:pt>
                <c:pt idx="77">
                  <c:v>1.0397365726559284</c:v>
                </c:pt>
                <c:pt idx="78">
                  <c:v>1.040935675434727</c:v>
                </c:pt>
                <c:pt idx="79">
                  <c:v>1.0421290536287369</c:v>
                </c:pt>
                <c:pt idx="80">
                  <c:v>1.0433166325603129</c:v>
                </c:pt>
                <c:pt idx="81">
                  <c:v>1.0444983474454448</c:v>
                </c:pt>
                <c:pt idx="82">
                  <c:v>1.0456741427156098</c:v>
                </c:pt>
                <c:pt idx="83">
                  <c:v>1.0468439713818252</c:v>
                </c:pt>
                <c:pt idx="84">
                  <c:v>1.0480077944383159</c:v>
                </c:pt>
                <c:pt idx="85">
                  <c:v>1.0491655803034234</c:v>
                </c:pt>
                <c:pt idx="86">
                  <c:v>1.0503173042954987</c:v>
                </c:pt>
                <c:pt idx="87">
                  <c:v>1.0514629481416273</c:v>
                </c:pt>
                <c:pt idx="88">
                  <c:v>1.0526024995172256</c:v>
                </c:pt>
                <c:pt idx="89">
                  <c:v>1.0537359516145999</c:v>
                </c:pt>
                <c:pt idx="90">
                  <c:v>1.0548633027387122</c:v>
                </c:pt>
                <c:pt idx="91">
                  <c:v>1.0559845559285026</c:v>
                </c:pt>
                <c:pt idx="92">
                  <c:v>1.0570997186021869</c:v>
                </c:pt>
                <c:pt idx="93">
                  <c:v>1.0582088022250711</c:v>
                </c:pt>
                <c:pt idx="94">
                  <c:v>1.0593118219985191</c:v>
                </c:pt>
                <c:pt idx="95">
                  <c:v>1.0604087965687556</c:v>
                </c:pt>
                <c:pt idx="96">
                  <c:v>1.0614997477542982</c:v>
                </c:pt>
                <c:pt idx="97">
                  <c:v>1.0625847002908815</c:v>
                </c:pt>
                <c:pt idx="98">
                  <c:v>1.0636636815927893</c:v>
                </c:pt>
                <c:pt idx="99">
                  <c:v>1.0647367215295931</c:v>
                </c:pt>
                <c:pt idx="100">
                  <c:v>1.0658038522173379</c:v>
                </c:pt>
                <c:pt idx="101">
                  <c:v>1.0668651078233098</c:v>
                </c:pt>
                <c:pt idx="102">
                  <c:v>1.0679205243835224</c:v>
                </c:pt>
                <c:pt idx="103">
                  <c:v>1.0689701396321543</c:v>
                </c:pt>
                <c:pt idx="104">
                  <c:v>1.0700139928421912</c:v>
                </c:pt>
                <c:pt idx="105">
                  <c:v>1.0710521246765836</c:v>
                </c:pt>
                <c:pt idx="106">
                  <c:v>1.07208457704928</c:v>
                </c:pt>
                <c:pt idx="107">
                  <c:v>1.0731113929954981</c:v>
                </c:pt>
                <c:pt idx="108">
                  <c:v>1.0741326165506935</c:v>
                </c:pt>
                <c:pt idx="109">
                  <c:v>1.0751482926376572</c:v>
                </c:pt>
                <c:pt idx="110">
                  <c:v>1.0761584669612636</c:v>
                </c:pt>
                <c:pt idx="111">
                  <c:v>1.0771631859103672</c:v>
                </c:pt>
                <c:pt idx="112">
                  <c:v>1.0781624964664265</c:v>
                </c:pt>
                <c:pt idx="113">
                  <c:v>1.0791564461184144</c:v>
                </c:pt>
                <c:pt idx="114">
                  <c:v>1.0801450827836441</c:v>
                </c:pt>
                <c:pt idx="115">
                  <c:v>1.0811284547341189</c:v>
                </c:pt>
                <c:pt idx="116">
                  <c:v>1.0821066105280739</c:v>
                </c:pt>
                <c:pt idx="117">
                  <c:v>1.0830795989463844</c:v>
                </c:pt>
                <c:pt idx="118">
                  <c:v>1.0840474689335258</c:v>
                </c:pt>
                <c:pt idx="119">
                  <c:v>1.0850102695428021</c:v>
                </c:pt>
                <c:pt idx="120">
                  <c:v>1.0859680498855813</c:v>
                </c:pt>
                <c:pt idx="121">
                  <c:v>1.0869208590842718</c:v>
                </c:pt>
                <c:pt idx="122">
                  <c:v>1.0878687462288135</c:v>
                </c:pt>
                <c:pt idx="123">
                  <c:v>1.0888117603364544</c:v>
                </c:pt>
                <c:pt idx="124">
                  <c:v>1.0897499503146024</c:v>
                </c:pt>
                <c:pt idx="125">
                  <c:v>1.0906833649265641</c:v>
                </c:pt>
                <c:pt idx="126">
                  <c:v>1.091612052759982</c:v>
                </c:pt>
                <c:pt idx="127">
                  <c:v>1.0925360621977822</c:v>
                </c:pt>
                <c:pt idx="128">
                  <c:v>1.0934554413915065</c:v>
                </c:pt>
                <c:pt idx="129">
                  <c:v>1.0943702382368348</c:v>
                </c:pt>
                <c:pt idx="130">
                  <c:v>1.0952805003511812</c:v>
                </c:pt>
                <c:pt idx="131">
                  <c:v>1.096186275053225</c:v>
                </c:pt>
                <c:pt idx="132">
                  <c:v>1.0970876093442463</c:v>
                </c:pt>
                <c:pt idx="133">
                  <c:v>1.0979845498911456</c:v>
                </c:pt>
                <c:pt idx="134">
                  <c:v>1.0988771430110467</c:v>
                </c:pt>
                <c:pt idx="135">
                  <c:v>1.099765434657372</c:v>
                </c:pt>
                <c:pt idx="136">
                  <c:v>1.100649470407286</c:v>
                </c:pt>
                <c:pt idx="137">
                  <c:v>1.1015292954504392</c:v>
                </c:pt>
                <c:pt idx="138">
                  <c:v>1.1024049545788905</c:v>
                </c:pt>
                <c:pt idx="139">
                  <c:v>1.1032764921781595</c:v>
                </c:pt>
                <c:pt idx="140">
                  <c:v>1.1041439522193239</c:v>
                </c:pt>
                <c:pt idx="141">
                  <c:v>1.1050073782520768</c:v>
                </c:pt>
                <c:pt idx="142">
                  <c:v>1.1058668133986973</c:v>
                </c:pt>
                <c:pt idx="143">
                  <c:v>1.1067223003488618</c:v>
                </c:pt>
                <c:pt idx="144">
                  <c:v>1.1075738813552374</c:v>
                </c:pt>
                <c:pt idx="145">
                  <c:v>1.1084215982298098</c:v>
                </c:pt>
                <c:pt idx="146">
                  <c:v>1.1092654923408838</c:v>
                </c:pt>
                <c:pt idx="147">
                  <c:v>1.1101056046107167</c:v>
                </c:pt>
                <c:pt idx="148">
                  <c:v>1.1109419755137377</c:v>
                </c:pt>
                <c:pt idx="149">
                  <c:v>1.1117746450753039</c:v>
                </c:pt>
                <c:pt idx="150">
                  <c:v>1.1126036528709702</c:v>
                </c:pt>
                <c:pt idx="151">
                  <c:v>1.1134290380262157</c:v>
                </c:pt>
                <c:pt idx="152">
                  <c:v>1.1142508392166064</c:v>
                </c:pt>
                <c:pt idx="153">
                  <c:v>1.1150690946683515</c:v>
                </c:pt>
                <c:pt idx="154">
                  <c:v>1.1158838421592379</c:v>
                </c:pt>
                <c:pt idx="155">
                  <c:v>1.1166951190198939</c:v>
                </c:pt>
                <c:pt idx="156">
                  <c:v>1.1175029621353727</c:v>
                </c:pt>
                <c:pt idx="157">
                  <c:v>1.1183074079470208</c:v>
                </c:pt>
                <c:pt idx="158">
                  <c:v>1.1191084924546146</c:v>
                </c:pt>
                <c:pt idx="159">
                  <c:v>1.1199062512187348</c:v>
                </c:pt>
                <c:pt idx="160">
                  <c:v>1.1207007193633693</c:v>
                </c:pt>
                <c:pt idx="161">
                  <c:v>1.1214919315787153</c:v>
                </c:pt>
                <c:pt idx="162">
                  <c:v>1.1222799221241697</c:v>
                </c:pt>
                <c:pt idx="163">
                  <c:v>1.1230647248314829</c:v>
                </c:pt>
                <c:pt idx="164">
                  <c:v>1.123846373108073</c:v>
                </c:pt>
                <c:pt idx="165">
                  <c:v>1.1246248999404778</c:v>
                </c:pt>
                <c:pt idx="166">
                  <c:v>1.1254003378979216</c:v>
                </c:pt>
                <c:pt idx="167">
                  <c:v>1.1261727191360118</c:v>
                </c:pt>
                <c:pt idx="168">
                  <c:v>1.1269420754005171</c:v>
                </c:pt>
                <c:pt idx="169">
                  <c:v>1.1277084380312512</c:v>
                </c:pt>
                <c:pt idx="170">
                  <c:v>1.1284718379660239</c:v>
                </c:pt>
                <c:pt idx="171">
                  <c:v>1.1292323057446707</c:v>
                </c:pt>
                <c:pt idx="172">
                  <c:v>1.1299898715131336</c:v>
                </c:pt>
                <c:pt idx="173">
                  <c:v>1.130744565027604</c:v>
                </c:pt>
                <c:pt idx="174">
                  <c:v>1.1314964156586989</c:v>
                </c:pt>
                <c:pt idx="175">
                  <c:v>1.1322454523956871</c:v>
                </c:pt>
                <c:pt idx="176">
                  <c:v>1.1329917038507351</c:v>
                </c:pt>
                <c:pt idx="177">
                  <c:v>1.1337351982631803</c:v>
                </c:pt>
                <c:pt idx="178">
                  <c:v>1.1344759635038268</c:v>
                </c:pt>
                <c:pt idx="179">
                  <c:v>1.1352140270792481</c:v>
                </c:pt>
                <c:pt idx="180">
                  <c:v>1.135949416136103</c:v>
                </c:pt>
                <c:pt idx="181">
                  <c:v>1.13668215746545</c:v>
                </c:pt>
                <c:pt idx="182">
                  <c:v>1.1374122775070661</c:v>
                </c:pt>
                <c:pt idx="183">
                  <c:v>1.1381398023537561</c:v>
                </c:pt>
                <c:pt idx="184">
                  <c:v>1.1388647577556579</c:v>
                </c:pt>
                <c:pt idx="185">
                  <c:v>1.1395871691245294</c:v>
                </c:pt>
                <c:pt idx="186">
                  <c:v>1.1403070615380315</c:v>
                </c:pt>
                <c:pt idx="187">
                  <c:v>1.1410244597439794</c:v>
                </c:pt>
                <c:pt idx="188">
                  <c:v>1.1417393881645863</c:v>
                </c:pt>
                <c:pt idx="189">
                  <c:v>1.1424518709006759</c:v>
                </c:pt>
                <c:pt idx="190">
                  <c:v>1.1431619317358723</c:v>
                </c:pt>
                <c:pt idx="191">
                  <c:v>1.1438695941407657</c:v>
                </c:pt>
                <c:pt idx="192">
                  <c:v>1.1445748812770447</c:v>
                </c:pt>
                <c:pt idx="193">
                  <c:v>1.1452778160016006</c:v>
                </c:pt>
                <c:pt idx="194">
                  <c:v>1.1459784208706014</c:v>
                </c:pt>
                <c:pt idx="195">
                  <c:v>1.1466767181435251</c:v>
                </c:pt>
                <c:pt idx="196">
                  <c:v>1.1473727297871696</c:v>
                </c:pt>
                <c:pt idx="197">
                  <c:v>1.1480664774796159</c:v>
                </c:pt>
                <c:pt idx="198">
                  <c:v>1.1487579826141621</c:v>
                </c:pt>
                <c:pt idx="199">
                  <c:v>1.1494472663032151</c:v>
                </c:pt>
                <c:pt idx="200">
                  <c:v>1.1501343493821472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応答係数!$E$2</c:f>
              <c:strCache>
                <c:ptCount val="1"/>
                <c:pt idx="0">
                  <c:v>吸熱応答（二等辺三角）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応答係数!$E$3:$E$4003</c:f>
              <c:numCache>
                <c:formatCode>0.0000</c:formatCode>
                <c:ptCount val="4001"/>
                <c:pt idx="0">
                  <c:v>0.7249073970928388</c:v>
                </c:pt>
                <c:pt idx="1">
                  <c:v>5.866869603763053E-2</c:v>
                </c:pt>
                <c:pt idx="2">
                  <c:v>4.5208414186249449E-2</c:v>
                </c:pt>
                <c:pt idx="3">
                  <c:v>3.4780952327929153E-2</c:v>
                </c:pt>
                <c:pt idx="4">
                  <c:v>2.6711846966771889E-2</c:v>
                </c:pt>
                <c:pt idx="5">
                  <c:v>2.047604747960393E-2</c:v>
                </c:pt>
                <c:pt idx="6">
                  <c:v>1.5664852580391134E-2</c:v>
                </c:pt>
                <c:pt idx="7">
                  <c:v>1.1960161236843575E-2</c:v>
                </c:pt>
                <c:pt idx="8">
                  <c:v>9.1144200373487697E-3</c:v>
                </c:pt>
                <c:pt idx="9">
                  <c:v>6.9350069103760632E-3</c:v>
                </c:pt>
                <c:pt idx="10">
                  <c:v>5.272069834175188E-3</c:v>
                </c:pt>
                <c:pt idx="11">
                  <c:v>4.0090562539433433E-3</c:v>
                </c:pt>
                <c:pt idx="12">
                  <c:v>3.0553379850094833E-3</c:v>
                </c:pt>
                <c:pt idx="13">
                  <c:v>2.3404680455378344E-3</c:v>
                </c:pt>
                <c:pt idx="14">
                  <c:v>1.8097084028590549E-3</c:v>
                </c:pt>
                <c:pt idx="15">
                  <c:v>1.4205474760927207E-3</c:v>
                </c:pt>
                <c:pt idx="16">
                  <c:v>1.1399884314925752E-3</c:v>
                </c:pt>
                <c:pt idx="17">
                  <c:v>9.4243774337370771E-4</c:v>
                </c:pt>
                <c:pt idx="18">
                  <c:v>8.0806121569059028E-4</c:v>
                </c:pt>
                <c:pt idx="19">
                  <c:v>7.2150403731178028E-4</c:v>
                </c:pt>
                <c:pt idx="20">
                  <c:v>6.7089432352637215E-4</c:v>
                </c:pt>
                <c:pt idx="21">
                  <c:v>6.4706741478627898E-4</c:v>
                </c:pt>
                <c:pt idx="22">
                  <c:v>6.4296208063723502E-4</c:v>
                </c:pt>
                <c:pt idx="23">
                  <c:v>6.5315058408695515E-4</c:v>
                </c:pt>
                <c:pt idx="24">
                  <c:v>6.7347297831155996E-4</c:v>
                </c:pt>
                <c:pt idx="25">
                  <c:v>7.0075256242435602E-4</c:v>
                </c:pt>
                <c:pt idx="26">
                  <c:v>7.3257452786432836E-4</c:v>
                </c:pt>
                <c:pt idx="27">
                  <c:v>7.671138025460867E-4</c:v>
                </c:pt>
                <c:pt idx="28">
                  <c:v>8.0300119604146444E-4</c:v>
                </c:pt>
                <c:pt idx="29">
                  <c:v>8.392193602742116E-4</c:v>
                </c:pt>
                <c:pt idx="30">
                  <c:v>8.750219580098427E-4</c:v>
                </c:pt>
                <c:pt idx="31">
                  <c:v>9.0987089380597749E-4</c:v>
                </c:pt>
                <c:pt idx="32">
                  <c:v>9.4338760094746254E-4</c:v>
                </c:pt>
                <c:pt idx="33">
                  <c:v>9.7531526479135316E-4</c:v>
                </c:pt>
                <c:pt idx="34">
                  <c:v>1.0054895536250861E-3</c:v>
                </c:pt>
                <c:pt idx="35">
                  <c:v>1.033815966003636E-3</c:v>
                </c:pt>
                <c:pt idx="36">
                  <c:v>1.0602523223832013E-3</c:v>
                </c:pt>
                <c:pt idx="37">
                  <c:v>1.0847952550372799E-3</c:v>
                </c:pt>
                <c:pt idx="38">
                  <c:v>1.1074698042294146E-3</c:v>
                </c:pt>
                <c:pt idx="39">
                  <c:v>1.1283214263935045E-3</c:v>
                </c:pt>
                <c:pt idx="40">
                  <c:v>1.1474098740731724E-3</c:v>
                </c:pt>
                <c:pt idx="41">
                  <c:v>1.1648045272812295E-3</c:v>
                </c:pt>
                <c:pt idx="42">
                  <c:v>1.1805808493012035E-3</c:v>
                </c:pt>
                <c:pt idx="43">
                  <c:v>1.194817712639345E-3</c:v>
                </c:pt>
                <c:pt idx="44">
                  <c:v>1.2075953974219707E-3</c:v>
                </c:pt>
                <c:pt idx="45">
                  <c:v>1.2189941085821365E-3</c:v>
                </c:pt>
                <c:pt idx="46">
                  <c:v>1.2290928924659594E-3</c:v>
                </c:pt>
                <c:pt idx="47">
                  <c:v>1.2379688601730069E-3</c:v>
                </c:pt>
                <c:pt idx="48">
                  <c:v>1.2456966457099115E-3</c:v>
                </c:pt>
                <c:pt idx="49">
                  <c:v>1.2523480431919634E-3</c:v>
                </c:pt>
                <c:pt idx="50">
                  <c:v>1.2579917798945274E-3</c:v>
                </c:pt>
                <c:pt idx="51">
                  <c:v>1.262693391729296E-3</c:v>
                </c:pt>
                <c:pt idx="52">
                  <c:v>1.2665151753185817E-3</c:v>
                </c:pt>
                <c:pt idx="53">
                  <c:v>1.269516196745902E-3</c:v>
                </c:pt>
                <c:pt idx="54">
                  <c:v>1.2717523416483358E-3</c:v>
                </c:pt>
                <c:pt idx="55">
                  <c:v>1.2732763948777182E-3</c:v>
                </c:pt>
                <c:pt idx="56">
                  <c:v>1.2741381407212374E-3</c:v>
                </c:pt>
                <c:pt idx="57">
                  <c:v>1.2743844768145481E-3</c:v>
                </c:pt>
                <c:pt idx="58">
                  <c:v>1.2740595365400651E-3</c:v>
                </c:pt>
                <c:pt idx="59">
                  <c:v>1.2732048159870499E-3</c:v>
                </c:pt>
                <c:pt idx="60">
                  <c:v>1.2718593025420313E-3</c:v>
                </c:pt>
                <c:pt idx="61">
                  <c:v>1.2700596029430881E-3</c:v>
                </c:pt>
                <c:pt idx="62">
                  <c:v>1.2678400692202583E-3</c:v>
                </c:pt>
                <c:pt idx="63">
                  <c:v>1.265232921396171E-3</c:v>
                </c:pt>
                <c:pt idx="64">
                  <c:v>1.2622683661666998E-3</c:v>
                </c:pt>
                <c:pt idx="65">
                  <c:v>1.2589747110447627E-3</c:v>
                </c:pt>
                <c:pt idx="66">
                  <c:v>1.2553784736500208E-3</c:v>
                </c:pt>
                <c:pt idx="67">
                  <c:v>1.2515044859774862E-3</c:v>
                </c:pt>
                <c:pt idx="68">
                  <c:v>1.2473759935902485E-3</c:v>
                </c:pt>
                <c:pt idx="69">
                  <c:v>1.2430147497643404E-3</c:v>
                </c:pt>
                <c:pt idx="70">
                  <c:v>1.2384411046739523E-3</c:v>
                </c:pt>
                <c:pt idx="71">
                  <c:v>1.233674089748093E-3</c:v>
                </c:pt>
                <c:pt idx="72">
                  <c:v>1.2287314973593883E-3</c:v>
                </c:pt>
                <c:pt idx="73">
                  <c:v>1.2236299560252058E-3</c:v>
                </c:pt>
                <c:pt idx="74">
                  <c:v>1.2183850013131568E-3</c:v>
                </c:pt>
                <c:pt idx="75">
                  <c:v>1.2130111426491201E-3</c:v>
                </c:pt>
                <c:pt idx="76">
                  <c:v>1.2075219262277341E-3</c:v>
                </c:pt>
                <c:pt idx="77">
                  <c:v>1.2019299942239467E-3</c:v>
                </c:pt>
                <c:pt idx="78">
                  <c:v>1.1962471405005484E-3</c:v>
                </c:pt>
                <c:pt idx="79">
                  <c:v>1.1904843630013331E-3</c:v>
                </c:pt>
                <c:pt idx="80">
                  <c:v>1.1846519130131099E-3</c:v>
                </c:pt>
                <c:pt idx="81">
                  <c:v>1.1787593414726439E-3</c:v>
                </c:pt>
                <c:pt idx="82">
                  <c:v>1.172815542487018E-3</c:v>
                </c:pt>
                <c:pt idx="83">
                  <c:v>1.1668287942280891E-3</c:v>
                </c:pt>
                <c:pt idx="84">
                  <c:v>1.1608067973538424E-3</c:v>
                </c:pt>
                <c:pt idx="85">
                  <c:v>1.1547567111016472E-3</c:v>
                </c:pt>
                <c:pt idx="86">
                  <c:v>1.1486851871907579E-3</c:v>
                </c:pt>
                <c:pt idx="87">
                  <c:v>1.1425984016639565E-3</c:v>
                </c:pt>
                <c:pt idx="88">
                  <c:v>1.1365020847910572E-3</c:v>
                </c:pt>
                <c:pt idx="89">
                  <c:v>1.1304015491500794E-3</c:v>
                </c:pt>
                <c:pt idx="90">
                  <c:v>1.1243017159952981E-3</c:v>
                </c:pt>
                <c:pt idx="91">
                  <c:v>1.1182071400150852E-3</c:v>
                </c:pt>
                <c:pt idx="92">
                  <c:v>1.1121220325764603E-3</c:v>
                </c:pt>
                <c:pt idx="93">
                  <c:v>1.106050283547607E-3</c:v>
                </c:pt>
                <c:pt idx="94">
                  <c:v>1.0999954817842107E-3</c:v>
                </c:pt>
                <c:pt idx="95">
                  <c:v>1.093960934360408E-3</c:v>
                </c:pt>
                <c:pt idx="96">
                  <c:v>1.087949684620315E-3</c:v>
                </c:pt>
                <c:pt idx="97">
                  <c:v>1.0819645291215848E-3</c:v>
                </c:pt>
                <c:pt idx="98">
                  <c:v>1.0760080335381467E-3</c:v>
                </c:pt>
                <c:pt idx="99">
                  <c:v>1.0700825475852766E-3</c:v>
                </c:pt>
                <c:pt idx="100">
                  <c:v>1.0641902190263327E-3</c:v>
                </c:pt>
                <c:pt idx="101">
                  <c:v>1.0583330068169258E-3</c:v>
                </c:pt>
                <c:pt idx="102">
                  <c:v>1.0525126934389374E-3</c:v>
                </c:pt>
                <c:pt idx="103">
                  <c:v>1.0467308964736254E-3</c:v>
                </c:pt>
                <c:pt idx="104">
                  <c:v>1.0409890794600926E-3</c:v>
                </c:pt>
                <c:pt idx="105">
                  <c:v>1.0352885620825876E-3</c:v>
                </c:pt>
                <c:pt idx="106">
                  <c:v>1.0296305297274892E-3</c:v>
                </c:pt>
                <c:pt idx="107">
                  <c:v>1.0240160424483395E-3</c:v>
                </c:pt>
                <c:pt idx="108">
                  <c:v>1.0184460433749804E-3</c:v>
                </c:pt>
                <c:pt idx="109">
                  <c:v>1.0129213666006565E-3</c:v>
                </c:pt>
                <c:pt idx="110">
                  <c:v>1.0074427445788991E-3</c:v>
                </c:pt>
                <c:pt idx="111">
                  <c:v>1.0020108150600752E-3</c:v>
                </c:pt>
                <c:pt idx="112">
                  <c:v>9.9662612759567537E-4</c:v>
                </c:pt>
                <c:pt idx="113">
                  <c:v>9.9128914963671319E-4</c:v>
                </c:pt>
                <c:pt idx="114">
                  <c:v>9.8600027225100267E-4</c:v>
                </c:pt>
                <c:pt idx="115">
                  <c:v>9.8075981548258846E-4</c:v>
                </c:pt>
                <c:pt idx="116">
                  <c:v>9.7556803337517861E-4</c:v>
                </c:pt>
                <c:pt idx="117">
                  <c:v>9.7042511868011621E-4</c:v>
                </c:pt>
                <c:pt idx="118">
                  <c:v>9.6533120726816773E-4</c:v>
                </c:pt>
                <c:pt idx="119">
                  <c:v>9.6028638226324707E-4</c:v>
                </c:pt>
                <c:pt idx="120">
                  <c:v>9.5529067791508206E-4</c:v>
                </c:pt>
                <c:pt idx="121">
                  <c:v>9.5034408322681053E-4</c:v>
                </c:pt>
                <c:pt idx="122">
                  <c:v>9.4544654535250931E-4</c:v>
                </c:pt>
                <c:pt idx="123">
                  <c:v>9.4059797277875723E-4</c:v>
                </c:pt>
                <c:pt idx="124">
                  <c:v>9.357982383034726E-4</c:v>
                </c:pt>
                <c:pt idx="125">
                  <c:v>9.3104718182446288E-4</c:v>
                </c:pt>
                <c:pt idx="126">
                  <c:v>9.2634461294936298E-4</c:v>
                </c:pt>
                <c:pt idx="127">
                  <c:v>9.2169031343793952E-4</c:v>
                </c:pt>
                <c:pt idx="128">
                  <c:v>9.1708403948705878E-4</c:v>
                </c:pt>
                <c:pt idx="129">
                  <c:v>9.1252552386800016E-4</c:v>
                </c:pt>
                <c:pt idx="130">
                  <c:v>9.0801447792519905E-4</c:v>
                </c:pt>
                <c:pt idx="131">
                  <c:v>9.0355059344496193E-4</c:v>
                </c:pt>
                <c:pt idx="132">
                  <c:v>8.9913354440216125E-4</c:v>
                </c:pt>
                <c:pt idx="133">
                  <c:v>8.9476298859244761E-4</c:v>
                </c:pt>
                <c:pt idx="134">
                  <c:v>8.9043856915704204E-4</c:v>
                </c:pt>
                <c:pt idx="135">
                  <c:v>8.8615991600675599E-4</c:v>
                </c:pt>
                <c:pt idx="136">
                  <c:v>8.8192664715146642E-4</c:v>
                </c:pt>
                <c:pt idx="137">
                  <c:v>8.7773836994090883E-4</c:v>
                </c:pt>
                <c:pt idx="138">
                  <c:v>8.7359468222228409E-4</c:v>
                </c:pt>
                <c:pt idx="139">
                  <c:v>8.6949517341984193E-4</c:v>
                </c:pt>
                <c:pt idx="140">
                  <c:v>8.6543942554129488E-4</c:v>
                </c:pt>
                <c:pt idx="141">
                  <c:v>8.6142701411560929E-4</c:v>
                </c:pt>
                <c:pt idx="142">
                  <c:v>8.5745750906645593E-4</c:v>
                </c:pt>
                <c:pt idx="143">
                  <c:v>8.535304755253304E-4</c:v>
                </c:pt>
                <c:pt idx="144">
                  <c:v>8.4964547458811577E-4</c:v>
                </c:pt>
                <c:pt idx="145">
                  <c:v>8.4580206401862503E-4</c:v>
                </c:pt>
                <c:pt idx="146">
                  <c:v>8.4199979890244925E-4</c:v>
                </c:pt>
                <c:pt idx="147">
                  <c:v>8.382382322542287E-4</c:v>
                </c:pt>
                <c:pt idx="148">
                  <c:v>8.345169155812794E-4</c:v>
                </c:pt>
                <c:pt idx="149">
                  <c:v>8.3083539940632402E-4</c:v>
                </c:pt>
                <c:pt idx="150">
                  <c:v>8.2719323375190915E-4</c:v>
                </c:pt>
                <c:pt idx="151">
                  <c:v>8.2358996858893432E-4</c:v>
                </c:pt>
                <c:pt idx="152">
                  <c:v>8.2002515425156632E-4</c:v>
                </c:pt>
                <c:pt idx="153">
                  <c:v>8.1649834182067737E-4</c:v>
                </c:pt>
                <c:pt idx="154">
                  <c:v>8.1300908347781077E-4</c:v>
                </c:pt>
                <c:pt idx="155">
                  <c:v>8.0955693283155583E-4</c:v>
                </c:pt>
                <c:pt idx="156">
                  <c:v>8.0614144521810112E-4</c:v>
                </c:pt>
                <c:pt idx="157">
                  <c:v>8.0276217797762065E-4</c:v>
                </c:pt>
                <c:pt idx="158">
                  <c:v>7.9941869070805421E-4</c:v>
                </c:pt>
                <c:pt idx="159">
                  <c:v>7.961105454977359E-4</c:v>
                </c:pt>
                <c:pt idx="160">
                  <c:v>7.9283730713824703E-4</c:v>
                </c:pt>
                <c:pt idx="161">
                  <c:v>7.8959854331877774E-4</c:v>
                </c:pt>
                <c:pt idx="162">
                  <c:v>7.8639382480320298E-4</c:v>
                </c:pt>
                <c:pt idx="163">
                  <c:v>7.8322272559100696E-4</c:v>
                </c:pt>
                <c:pt idx="164">
                  <c:v>7.8008482306311843E-4</c:v>
                </c:pt>
                <c:pt idx="165">
                  <c:v>7.769796981136523E-4</c:v>
                </c:pt>
                <c:pt idx="166">
                  <c:v>7.7390693526849436E-4</c:v>
                </c:pt>
                <c:pt idx="167">
                  <c:v>7.7086612279160592E-4</c:v>
                </c:pt>
                <c:pt idx="168">
                  <c:v>7.6785685277986975E-4</c:v>
                </c:pt>
                <c:pt idx="169">
                  <c:v>7.6487872124725222E-4</c:v>
                </c:pt>
                <c:pt idx="170">
                  <c:v>7.6193132819900224E-4</c:v>
                </c:pt>
                <c:pt idx="171">
                  <c:v>7.5901427769656693E-4</c:v>
                </c:pt>
                <c:pt idx="172">
                  <c:v>7.5612717791386202E-4</c:v>
                </c:pt>
                <c:pt idx="173">
                  <c:v>7.5326964118549173E-4</c:v>
                </c:pt>
                <c:pt idx="174">
                  <c:v>7.5044128404747783E-4</c:v>
                </c:pt>
                <c:pt idx="175">
                  <c:v>7.4764172727102352E-4</c:v>
                </c:pt>
                <c:pt idx="176">
                  <c:v>7.4487059588980377E-4</c:v>
                </c:pt>
                <c:pt idx="177">
                  <c:v>7.4212751922124009E-4</c:v>
                </c:pt>
                <c:pt idx="178">
                  <c:v>7.3941213088219695E-4</c:v>
                </c:pt>
                <c:pt idx="179">
                  <c:v>7.3672406879949628E-4</c:v>
                </c:pt>
                <c:pt idx="180">
                  <c:v>7.3406297521563953E-4</c:v>
                </c:pt>
                <c:pt idx="181">
                  <c:v>7.3142849669008295E-4</c:v>
                </c:pt>
                <c:pt idx="182">
                  <c:v>7.2882028409640182E-4</c:v>
                </c:pt>
                <c:pt idx="183">
                  <c:v>7.262379926156595E-4</c:v>
                </c:pt>
                <c:pt idx="184">
                  <c:v>7.2368128172626536E-4</c:v>
                </c:pt>
                <c:pt idx="185">
                  <c:v>7.2114981519059908E-4</c:v>
                </c:pt>
                <c:pt idx="186">
                  <c:v>7.1864326103865677E-4</c:v>
                </c:pt>
                <c:pt idx="187">
                  <c:v>7.1616129154895662E-4</c:v>
                </c:pt>
                <c:pt idx="188">
                  <c:v>7.1370358322692812E-4</c:v>
                </c:pt>
                <c:pt idx="189">
                  <c:v>7.1126981678099413E-4</c:v>
                </c:pt>
                <c:pt idx="190">
                  <c:v>7.088596770965423E-4</c:v>
                </c:pt>
                <c:pt idx="191">
                  <c:v>7.0647285320796726E-4</c:v>
                </c:pt>
                <c:pt idx="192">
                  <c:v>7.0410903826895589E-4</c:v>
                </c:pt>
                <c:pt idx="193">
                  <c:v>7.0176792952117569E-4</c:v>
                </c:pt>
                <c:pt idx="194">
                  <c:v>6.994492282615132E-4</c:v>
                </c:pt>
                <c:pt idx="195">
                  <c:v>6.9715263980800642E-4</c:v>
                </c:pt>
                <c:pt idx="196">
                  <c:v>6.9487787346459514E-4</c:v>
                </c:pt>
                <c:pt idx="197">
                  <c:v>6.9262464248481793E-4</c:v>
                </c:pt>
                <c:pt idx="198">
                  <c:v>6.9039266403456254E-4</c:v>
                </c:pt>
                <c:pt idx="199">
                  <c:v>6.8818165915398015E-4</c:v>
                </c:pt>
                <c:pt idx="200">
                  <c:v>6.8599135271866043E-4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応答係数!$D$2</c:f>
              <c:strCache>
                <c:ptCount val="1"/>
                <c:pt idx="0">
                  <c:v>貫流応答（二等辺三角）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応答係数!$A$3:$A$4003</c:f>
              <c:numCache>
                <c:formatCode>General</c:formatCode>
                <c:ptCount val="4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応答係数!$D$3:$D$4003</c:f>
              <c:numCache>
                <c:formatCode>0.0000</c:formatCode>
                <c:ptCount val="4001"/>
                <c:pt idx="0">
                  <c:v>6.5353405459405434E-3</c:v>
                </c:pt>
                <c:pt idx="1">
                  <c:v>-4.4490120741471932E-3</c:v>
                </c:pt>
                <c:pt idx="2">
                  <c:v>-3.0177423004367843E-3</c:v>
                </c:pt>
                <c:pt idx="3">
                  <c:v>-1.9402264940035522E-3</c:v>
                </c:pt>
                <c:pt idx="4">
                  <c:v>-1.1357470279151351E-3</c:v>
                </c:pt>
                <c:pt idx="5">
                  <c:v>-5.4159415052566372E-4</c:v>
                </c:pt>
                <c:pt idx="6">
                  <c:v>-1.0907331495156621E-4</c:v>
                </c:pt>
                <c:pt idx="7">
                  <c:v>1.9960374845153495E-4</c:v>
                </c:pt>
                <c:pt idx="8">
                  <c:v>4.1373973436226934E-4</c:v>
                </c:pt>
                <c:pt idx="9">
                  <c:v>5.5603650678322388E-4</c:v>
                </c:pt>
                <c:pt idx="10">
                  <c:v>6.4406246923357619E-4</c:v>
                </c:pt>
                <c:pt idx="11">
                  <c:v>6.913949122129803E-4</c:v>
                </c:pt>
                <c:pt idx="12">
                  <c:v>7.0850925951456149E-4</c:v>
                </c:pt>
                <c:pt idx="13">
                  <c:v>7.0347122433582292E-4</c:v>
                </c:pt>
                <c:pt idx="14">
                  <c:v>6.8247549502659652E-4</c:v>
                </c:pt>
                <c:pt idx="15">
                  <c:v>6.5026492020143654E-4</c:v>
                </c:pt>
                <c:pt idx="16">
                  <c:v>6.1045664751750728E-4</c:v>
                </c:pt>
                <c:pt idx="17">
                  <c:v>5.657958174816605E-4</c:v>
                </c:pt>
                <c:pt idx="18">
                  <c:v>5.1835285545561685E-4</c:v>
                </c:pt>
                <c:pt idx="19">
                  <c:v>4.6967685517508828E-4</c:v>
                </c:pt>
                <c:pt idx="20">
                  <c:v>4.2091478253835827E-4</c:v>
                </c:pt>
                <c:pt idx="21">
                  <c:v>3.7290407544196644E-4</c:v>
                </c:pt>
                <c:pt idx="22">
                  <c:v>3.2624453876018978E-4</c:v>
                </c:pt>
                <c:pt idx="23">
                  <c:v>2.8135412782080238E-4</c:v>
                </c:pt>
                <c:pt idx="24">
                  <c:v>2.3851219686776793E-4</c:v>
                </c:pt>
                <c:pt idx="25">
                  <c:v>1.9789299711826366E-4</c:v>
                </c:pt>
                <c:pt idx="26">
                  <c:v>1.595915923486815E-4</c:v>
                </c:pt>
                <c:pt idx="27">
                  <c:v>1.2364387972267797E-4</c:v>
                </c:pt>
                <c:pt idx="28">
                  <c:v>9.0042029618462308E-5</c:v>
                </c:pt>
                <c:pt idx="29">
                  <c:v>5.8746367013872665E-5</c:v>
                </c:pt>
                <c:pt idx="30">
                  <c:v>2.9694490238255915E-5</c:v>
                </c:pt>
                <c:pt idx="31">
                  <c:v>2.8082463414331057E-6</c:v>
                </c:pt>
                <c:pt idx="32">
                  <c:v>-2.2000955142146567E-5</c:v>
                </c:pt>
                <c:pt idx="33">
                  <c:v>-4.4828115289396463E-5</c:v>
                </c:pt>
                <c:pt idx="34">
                  <c:v>-6.5771614329662666E-5</c:v>
                </c:pt>
                <c:pt idx="35">
                  <c:v>-8.493094908648196E-5</c:v>
                </c:pt>
                <c:pt idx="36">
                  <c:v>-1.0240506327214927E-4</c:v>
                </c:pt>
                <c:pt idx="37">
                  <c:v>-1.1829113389059227E-4</c:v>
                </c:pt>
                <c:pt idx="38">
                  <c:v>-1.3268370759162508E-4</c:v>
                </c:pt>
                <c:pt idx="39">
                  <c:v>-1.4567410462069464E-4</c:v>
                </c:pt>
                <c:pt idx="40">
                  <c:v>-1.5735002652515314E-4</c:v>
                </c:pt>
                <c:pt idx="41">
                  <c:v>-1.67795318180912E-4</c:v>
                </c:pt>
                <c:pt idx="42">
                  <c:v>-1.7708984590318822E-4</c:v>
                </c:pt>
                <c:pt idx="43">
                  <c:v>-1.8530946211148055E-4</c:v>
                </c:pt>
                <c:pt idx="44">
                  <c:v>-1.9252603378441257E-4</c:v>
                </c:pt>
                <c:pt idx="45">
                  <c:v>-1.9880751719490933E-4</c:v>
                </c:pt>
                <c:pt idx="46">
                  <c:v>-2.0421806549535172E-4</c:v>
                </c:pt>
                <c:pt idx="47">
                  <c:v>-2.088181588867163E-4</c:v>
                </c:pt>
                <c:pt idx="48">
                  <c:v>-2.1266474955840614E-4</c:v>
                </c:pt>
                <c:pt idx="49">
                  <c:v>-2.1581141548459719E-4</c:v>
                </c:pt>
                <c:pt idx="50">
                  <c:v>-2.1830851863163521E-4</c:v>
                </c:pt>
                <c:pt idx="51">
                  <c:v>-2.2020336426509555E-4</c:v>
                </c:pt>
                <c:pt idx="52">
                  <c:v>-2.2154035891923298E-4</c:v>
                </c:pt>
                <c:pt idx="53">
                  <c:v>-2.2236116526370061E-4</c:v>
                </c:pt>
                <c:pt idx="54">
                  <c:v>-2.2270485261784406E-4</c:v>
                </c:pt>
                <c:pt idx="55">
                  <c:v>-2.2260804225671642E-4</c:v>
                </c:pt>
                <c:pt idx="56">
                  <c:v>-2.2210504695255624E-4</c:v>
                </c:pt>
                <c:pt idx="57">
                  <c:v>-2.2122800442212767E-4</c:v>
                </c:pt>
                <c:pt idx="58">
                  <c:v>-2.2000700452055384E-4</c:v>
                </c:pt>
                <c:pt idx="59">
                  <c:v>-2.18470210148953E-4</c:v>
                </c:pt>
                <c:pt idx="60">
                  <c:v>-2.1664397193631548E-4</c:v>
                </c:pt>
                <c:pt idx="61">
                  <c:v>-2.1455293682335792E-4</c:v>
                </c:pt>
                <c:pt idx="62">
                  <c:v>-2.122201507236468E-4</c:v>
                </c:pt>
                <c:pt idx="63">
                  <c:v>-2.0966715546969368E-4</c:v>
                </c:pt>
                <c:pt idx="64">
                  <c:v>-2.0691408027267291E-4</c:v>
                </c:pt>
                <c:pt idx="65">
                  <c:v>-2.0397972793666312E-4</c:v>
                </c:pt>
                <c:pt idx="66">
                  <c:v>-2.0088165607404926E-4</c:v>
                </c:pt>
                <c:pt idx="67">
                  <c:v>-1.9763625356961076E-4</c:v>
                </c:pt>
                <c:pt idx="68">
                  <c:v>-1.9425881253815251E-4</c:v>
                </c:pt>
                <c:pt idx="69">
                  <c:v>-1.9076359601530315E-4</c:v>
                </c:pt>
                <c:pt idx="70">
                  <c:v>-1.8716390161405908E-4</c:v>
                </c:pt>
                <c:pt idx="71">
                  <c:v>-1.8347212137138067E-4</c:v>
                </c:pt>
                <c:pt idx="72">
                  <c:v>-1.7969979800009684E-4</c:v>
                </c:pt>
                <c:pt idx="73">
                  <c:v>-1.7585767775184913E-4</c:v>
                </c:pt>
                <c:pt idx="74">
                  <c:v>-1.7195576008709624E-4</c:v>
                </c:pt>
                <c:pt idx="75">
                  <c:v>-1.6800334433845893E-4</c:v>
                </c:pt>
                <c:pt idx="76">
                  <c:v>-1.6400907354406177E-4</c:v>
                </c:pt>
                <c:pt idx="77">
                  <c:v>-1.5998097561811971E-4</c:v>
                </c:pt>
                <c:pt idx="78">
                  <c:v>-1.5592650201689387E-4</c:v>
                </c:pt>
                <c:pt idx="79">
                  <c:v>-1.5185256404933814E-4</c:v>
                </c:pt>
                <c:pt idx="80">
                  <c:v>-1.4776556697332778E-4</c:v>
                </c:pt>
                <c:pt idx="81">
                  <c:v>-1.4367144201028726E-4</c:v>
                </c:pt>
                <c:pt idx="82">
                  <c:v>-1.3957567640336942E-4</c:v>
                </c:pt>
                <c:pt idx="83">
                  <c:v>-1.3548334163702335E-4</c:v>
                </c:pt>
                <c:pt idx="84">
                  <c:v>-1.3139911992888332E-4</c:v>
                </c:pt>
                <c:pt idx="85">
                  <c:v>-1.2732732909835596E-4</c:v>
                </c:pt>
                <c:pt idx="86">
                  <c:v>-1.2327194591008772E-4</c:v>
                </c:pt>
                <c:pt idx="87">
                  <c:v>-1.1923662798465478E-4</c:v>
                </c:pt>
                <c:pt idx="88">
                  <c:v>-1.1522473436329444E-4</c:v>
                </c:pt>
                <c:pt idx="89">
                  <c:v>-1.1123934480830285E-4</c:v>
                </c:pt>
                <c:pt idx="90">
                  <c:v>-1.0728327791581937E-4</c:v>
                </c:pt>
                <c:pt idx="91">
                  <c:v>-1.0335910811310589E-4</c:v>
                </c:pt>
                <c:pt idx="92">
                  <c:v>-9.9469181608089819E-5</c:v>
                </c:pt>
                <c:pt idx="93">
                  <c:v>-9.5615631354846738E-5</c:v>
                </c:pt>
                <c:pt idx="94">
                  <c:v>-9.1800391094860146E-5</c:v>
                </c:pt>
                <c:pt idx="95">
                  <c:v>-8.8025208530278194E-5</c:v>
                </c:pt>
                <c:pt idx="96">
                  <c:v>-8.4291657681988876E-5</c:v>
                </c:pt>
                <c:pt idx="97">
                  <c:v>-8.0601150482137855E-5</c:v>
                </c:pt>
                <c:pt idx="98">
                  <c:v>-7.6954947647712223E-5</c:v>
                </c:pt>
                <c:pt idx="99">
                  <c:v>-7.3354168878985709E-5</c:v>
                </c:pt>
                <c:pt idx="100">
                  <c:v>-6.9799802423972646E-5</c:v>
                </c:pt>
                <c:pt idx="101">
                  <c:v>-6.6292714047539787E-5</c:v>
                </c:pt>
                <c:pt idx="102">
                  <c:v>-6.2833655441483802E-5</c:v>
                </c:pt>
                <c:pt idx="103">
                  <c:v>-5.942327210968206E-5</c:v>
                </c:pt>
                <c:pt idx="104">
                  <c:v>-5.6062110760353939E-5</c:v>
                </c:pt>
                <c:pt idx="105">
                  <c:v>-5.2750626235524105E-5</c:v>
                </c:pt>
                <c:pt idx="106">
                  <c:v>-4.9489188005960673E-5</c:v>
                </c:pt>
                <c:pt idx="107">
                  <c:v>-4.6278086258135163E-5</c:v>
                </c:pt>
                <c:pt idx="108">
                  <c:v>-4.3117537598150066E-5</c:v>
                </c:pt>
                <c:pt idx="109">
                  <c:v>-4.0007690396055922E-5</c:v>
                </c:pt>
                <c:pt idx="110">
                  <c:v>-3.694862979256631E-5</c:v>
                </c:pt>
                <c:pt idx="111">
                  <c:v>-3.3940382388835091E-5</c:v>
                </c:pt>
                <c:pt idx="112">
                  <c:v>-3.0982920638710946E-5</c:v>
                </c:pt>
                <c:pt idx="113">
                  <c:v>-2.8076166961701341E-5</c:v>
                </c:pt>
                <c:pt idx="114">
                  <c:v>-2.5219997593771439E-5</c:v>
                </c:pt>
                <c:pt idx="115">
                  <c:v>-2.2414246192063212E-5</c:v>
                </c:pt>
                <c:pt idx="116">
                  <c:v>-1.9658707208641512E-5</c:v>
                </c:pt>
                <c:pt idx="117">
                  <c:v>-1.69531390474571E-5</c:v>
                </c:pt>
                <c:pt idx="118">
                  <c:v>-1.4297267017850832E-5</c:v>
                </c:pt>
                <c:pt idx="119">
                  <c:v>-1.1690786097117789E-5</c:v>
                </c:pt>
                <c:pt idx="120">
                  <c:v>-9.1333635138832493E-6</c:v>
                </c:pt>
                <c:pt idx="121">
                  <c:v>-6.6246411633328556E-6</c:v>
                </c:pt>
                <c:pt idx="122">
                  <c:v>-4.1642378646622824E-6</c:v>
                </c:pt>
                <c:pt idx="123">
                  <c:v>-1.7517514704857764E-6</c:v>
                </c:pt>
                <c:pt idx="124">
                  <c:v>6.132391626532085E-7</c:v>
                </c:pt>
                <c:pt idx="125">
                  <c:v>2.9311723340813361E-6</c:v>
                </c:pt>
                <c:pt idx="126">
                  <c:v>5.2025017810405315E-6</c:v>
                </c:pt>
                <c:pt idx="127">
                  <c:v>7.427695075404842E-6</c:v>
                </c:pt>
                <c:pt idx="128">
                  <c:v>9.6072321279571467E-6</c:v>
                </c:pt>
                <c:pt idx="129">
                  <c:v>1.1741603793547126E-5</c:v>
                </c:pt>
                <c:pt idx="130">
                  <c:v>1.3831310570859837E-5</c:v>
                </c:pt>
                <c:pt idx="131">
                  <c:v>1.5876861390905441E-5</c:v>
                </c:pt>
                <c:pt idx="132">
                  <c:v>1.7878772488698494E-5</c:v>
                </c:pt>
                <c:pt idx="133">
                  <c:v>1.9837566352938471E-5</c:v>
                </c:pt>
                <c:pt idx="134">
                  <c:v>2.1753770748812595E-5</c:v>
                </c:pt>
                <c:pt idx="135">
                  <c:v>2.3627917809344641E-5</c:v>
                </c:pt>
                <c:pt idx="136">
                  <c:v>2.5460543190991776E-5</c:v>
                </c:pt>
                <c:pt idx="137">
                  <c:v>2.7252185289454061E-5</c:v>
                </c:pt>
                <c:pt idx="138">
                  <c:v>2.9003384511906988E-5</c:v>
                </c:pt>
                <c:pt idx="139">
                  <c:v>3.0714682602102051E-5</c:v>
                </c:pt>
                <c:pt idx="140">
                  <c:v>3.2386622014993113E-5</c:v>
                </c:pt>
                <c:pt idx="141">
                  <c:v>3.4019745337757456E-5</c:v>
                </c:pt>
                <c:pt idx="142">
                  <c:v>3.5614594754264591E-5</c:v>
                </c:pt>
                <c:pt idx="143">
                  <c:v>3.7171711550233482E-5</c:v>
                </c:pt>
                <c:pt idx="144">
                  <c:v>3.8691635656484541E-5</c:v>
                </c:pt>
                <c:pt idx="145">
                  <c:v>4.0174905227849424E-5</c:v>
                </c:pt>
                <c:pt idx="146">
                  <c:v>4.1622056255458668E-5</c:v>
                </c:pt>
                <c:pt idx="147">
                  <c:v>4.3033622210259389E-5</c:v>
                </c:pt>
                <c:pt idx="148">
                  <c:v>4.4410133715751989E-5</c:v>
                </c:pt>
                <c:pt idx="149">
                  <c:v>4.5752118248056961E-5</c:v>
                </c:pt>
                <c:pt idx="150">
                  <c:v>4.706009986153938E-5</c:v>
                </c:pt>
                <c:pt idx="151">
                  <c:v>4.8334598938327857E-5</c:v>
                </c:pt>
                <c:pt idx="152">
                  <c:v>4.9576131960167776E-5</c:v>
                </c:pt>
                <c:pt idx="153">
                  <c:v>5.0785211301143042E-5</c:v>
                </c:pt>
                <c:pt idx="154">
                  <c:v>5.1962345039894878E-5</c:v>
                </c:pt>
                <c:pt idx="155">
                  <c:v>5.3108036790045769E-5</c:v>
                </c:pt>
                <c:pt idx="156">
                  <c:v>5.4222785547621679E-5</c:v>
                </c:pt>
                <c:pt idx="157">
                  <c:v>5.5307085554337483E-5</c:v>
                </c:pt>
                <c:pt idx="158">
                  <c:v>5.6361426175681223E-5</c:v>
                </c:pt>
                <c:pt idx="159">
                  <c:v>5.7386291792799473E-5</c:v>
                </c:pt>
                <c:pt idx="160">
                  <c:v>5.8382161707249287E-5</c:v>
                </c:pt>
                <c:pt idx="161">
                  <c:v>5.9349510057736096E-5</c:v>
                </c:pt>
                <c:pt idx="162">
                  <c:v>6.0288805748018507E-5</c:v>
                </c:pt>
                <c:pt idx="163">
                  <c:v>6.1200512385205198E-5</c:v>
                </c:pt>
                <c:pt idx="164">
                  <c:v>6.2085088227722179E-5</c:v>
                </c:pt>
                <c:pt idx="165">
                  <c:v>6.294298614227161E-5</c:v>
                </c:pt>
                <c:pt idx="166">
                  <c:v>6.3774653569148294E-5</c:v>
                </c:pt>
                <c:pt idx="167">
                  <c:v>6.4580532495315117E-5</c:v>
                </c:pt>
                <c:pt idx="168">
                  <c:v>6.5361059434682639E-5</c:v>
                </c:pt>
                <c:pt idx="169">
                  <c:v>6.6116665415067084E-5</c:v>
                </c:pt>
                <c:pt idx="170">
                  <c:v>6.6847775971339097E-5</c:v>
                </c:pt>
                <c:pt idx="171">
                  <c:v>6.7554811144302399E-5</c:v>
                </c:pt>
                <c:pt idx="172">
                  <c:v>6.8238185484873479E-5</c:v>
                </c:pt>
                <c:pt idx="173">
                  <c:v>6.8898308063160271E-5</c:v>
                </c:pt>
                <c:pt idx="174">
                  <c:v>6.9535582482061422E-5</c:v>
                </c:pt>
                <c:pt idx="175">
                  <c:v>7.0150406895034862E-5</c:v>
                </c:pt>
                <c:pt idx="176">
                  <c:v>7.0743174027704868E-5</c:v>
                </c:pt>
                <c:pt idx="177">
                  <c:v>7.1314271202998144E-5</c:v>
                </c:pt>
                <c:pt idx="178">
                  <c:v>7.1864080369521519E-5</c:v>
                </c:pt>
                <c:pt idx="179">
                  <c:v>7.2392978132908268E-5</c:v>
                </c:pt>
                <c:pt idx="180">
                  <c:v>7.2901335789882769E-5</c:v>
                </c:pt>
                <c:pt idx="181">
                  <c:v>7.3389519364805582E-5</c:v>
                </c:pt>
                <c:pt idx="182">
                  <c:v>7.3857889648478443E-5</c:v>
                </c:pt>
                <c:pt idx="183">
                  <c:v>7.4306802239001917E-5</c:v>
                </c:pt>
                <c:pt idx="184">
                  <c:v>7.4736607584494988E-5</c:v>
                </c:pt>
                <c:pt idx="185">
                  <c:v>7.5147651027493393E-5</c:v>
                </c:pt>
                <c:pt idx="186">
                  <c:v>7.5540272850860949E-5</c:v>
                </c:pt>
                <c:pt idx="187">
                  <c:v>7.5914808325055902E-5</c:v>
                </c:pt>
                <c:pt idx="188">
                  <c:v>7.6271587756605608E-5</c:v>
                </c:pt>
                <c:pt idx="189">
                  <c:v>7.6610936537653879E-5</c:v>
                </c:pt>
                <c:pt idx="190">
                  <c:v>7.6933175196452564E-5</c:v>
                </c:pt>
                <c:pt idx="191">
                  <c:v>7.723861944867975E-5</c:v>
                </c:pt>
                <c:pt idx="192">
                  <c:v>7.752758024947361E-5</c:v>
                </c:pt>
                <c:pt idx="193">
                  <c:v>7.7800363846078287E-5</c:v>
                </c:pt>
                <c:pt idx="194">
                  <c:v>7.8057271831008429E-5</c:v>
                </c:pt>
                <c:pt idx="195">
                  <c:v>7.8298601195640351E-5</c:v>
                </c:pt>
                <c:pt idx="196">
                  <c:v>7.8524644384149212E-5</c:v>
                </c:pt>
                <c:pt idx="197">
                  <c:v>7.8735689347714813E-5</c:v>
                </c:pt>
                <c:pt idx="198">
                  <c:v>7.893201959892476E-5</c:v>
                </c:pt>
                <c:pt idx="199">
                  <c:v>7.91139142663081E-5</c:v>
                </c:pt>
                <c:pt idx="200">
                  <c:v>7.9281648148939944E-5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A-4654-B215-C5C30C02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57640"/>
        <c:axId val="1075258296"/>
      </c:scatterChart>
      <c:valAx>
        <c:axId val="1075257640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8296"/>
        <c:crosses val="autoZero"/>
        <c:crossBetween val="midCat"/>
      </c:valAx>
      <c:valAx>
        <c:axId val="107525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25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609600</xdr:colOff>
      <xdr:row>2</xdr:row>
      <xdr:rowOff>28575</xdr:rowOff>
    </xdr:to>
    <xdr:sp macro="[0]!Mai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" y="0"/>
          <a:ext cx="1533524" cy="4667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/>
            <a:t>応答係数を計算する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518160</xdr:colOff>
          <xdr:row>2</xdr:row>
          <xdr:rowOff>106680</xdr:rowOff>
        </xdr:from>
        <xdr:to>
          <xdr:col>13</xdr:col>
          <xdr:colOff>609600</xdr:colOff>
          <xdr:row>3</xdr:row>
          <xdr:rowOff>152400</xdr:rowOff>
        </xdr:to>
        <xdr:sp macro="" textlink="">
          <xdr:nvSpPr>
            <xdr:cNvPr id="17419" name="OptionButton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1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624840</xdr:colOff>
          <xdr:row>2</xdr:row>
          <xdr:rowOff>106680</xdr:rowOff>
        </xdr:from>
        <xdr:to>
          <xdr:col>14</xdr:col>
          <xdr:colOff>403860</xdr:colOff>
          <xdr:row>3</xdr:row>
          <xdr:rowOff>152400</xdr:rowOff>
        </xdr:to>
        <xdr:sp macro="" textlink="">
          <xdr:nvSpPr>
            <xdr:cNvPr id="17420" name="OptionButton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1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449580</xdr:colOff>
          <xdr:row>2</xdr:row>
          <xdr:rowOff>106680</xdr:rowOff>
        </xdr:from>
        <xdr:to>
          <xdr:col>15</xdr:col>
          <xdr:colOff>342900</xdr:colOff>
          <xdr:row>3</xdr:row>
          <xdr:rowOff>152400</xdr:rowOff>
        </xdr:to>
        <xdr:sp macro="" textlink="">
          <xdr:nvSpPr>
            <xdr:cNvPr id="17421" name="OptionButton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1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327660</xdr:colOff>
          <xdr:row>2</xdr:row>
          <xdr:rowOff>114300</xdr:rowOff>
        </xdr:from>
        <xdr:to>
          <xdr:col>16</xdr:col>
          <xdr:colOff>365760</xdr:colOff>
          <xdr:row>3</xdr:row>
          <xdr:rowOff>160020</xdr:rowOff>
        </xdr:to>
        <xdr:sp macro="" textlink="">
          <xdr:nvSpPr>
            <xdr:cNvPr id="17422" name="OptionButton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1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388620</xdr:colOff>
          <xdr:row>2</xdr:row>
          <xdr:rowOff>121920</xdr:rowOff>
        </xdr:from>
        <xdr:to>
          <xdr:col>17</xdr:col>
          <xdr:colOff>106680</xdr:colOff>
          <xdr:row>3</xdr:row>
          <xdr:rowOff>167640</xdr:rowOff>
        </xdr:to>
        <xdr:sp macro="" textlink="">
          <xdr:nvSpPr>
            <xdr:cNvPr id="17423" name="OptionButton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1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2</xdr:row>
          <xdr:rowOff>121920</xdr:rowOff>
        </xdr:from>
        <xdr:to>
          <xdr:col>17</xdr:col>
          <xdr:colOff>495300</xdr:colOff>
          <xdr:row>3</xdr:row>
          <xdr:rowOff>167640</xdr:rowOff>
        </xdr:to>
        <xdr:sp macro="" textlink="">
          <xdr:nvSpPr>
            <xdr:cNvPr id="17424" name="OptionButton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1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385762</xdr:colOff>
      <xdr:row>785</xdr:row>
      <xdr:rowOff>85724</xdr:rowOff>
    </xdr:from>
    <xdr:to>
      <xdr:col>32</xdr:col>
      <xdr:colOff>461962</xdr:colOff>
      <xdr:row>806</xdr:row>
      <xdr:rowOff>28574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223837</xdr:colOff>
      <xdr:row>805</xdr:row>
      <xdr:rowOff>71437</xdr:rowOff>
    </xdr:from>
    <xdr:to>
      <xdr:col>10</xdr:col>
      <xdr:colOff>300037</xdr:colOff>
      <xdr:row>826</xdr:row>
      <xdr:rowOff>14287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76199</xdr:colOff>
      <xdr:row>803</xdr:row>
      <xdr:rowOff>114300</xdr:rowOff>
    </xdr:from>
    <xdr:to>
      <xdr:col>19</xdr:col>
      <xdr:colOff>152399</xdr:colOff>
      <xdr:row>824</xdr:row>
      <xdr:rowOff>57150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175260</xdr:colOff>
      <xdr:row>3977</xdr:row>
      <xdr:rowOff>30486</xdr:rowOff>
    </xdr:from>
    <xdr:to>
      <xdr:col>14</xdr:col>
      <xdr:colOff>198120</xdr:colOff>
      <xdr:row>3997</xdr:row>
      <xdr:rowOff>30486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175260</xdr:colOff>
      <xdr:row>3997</xdr:row>
      <xdr:rowOff>91446</xdr:rowOff>
    </xdr:from>
    <xdr:to>
      <xdr:col>14</xdr:col>
      <xdr:colOff>198120</xdr:colOff>
      <xdr:row>4017</xdr:row>
      <xdr:rowOff>91446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175260</xdr:colOff>
      <xdr:row>3997</xdr:row>
      <xdr:rowOff>91446</xdr:rowOff>
    </xdr:from>
    <xdr:to>
      <xdr:col>21</xdr:col>
      <xdr:colOff>533400</xdr:colOff>
      <xdr:row>4017</xdr:row>
      <xdr:rowOff>91446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toh/Dropbox/users/&#20316;&#26989;&#20013;&#26989;&#21209;/&#22522;&#25972;&#20419;E7share/55_&#34920;&#38754;&#28201;&#24230;&#24540;&#31572;&#12398;&#12503;&#12525;&#12464;&#12521;&#12512;/20180105&#31777;&#26131;&#12471;&#12511;&#12517;&#12524;&#12540;&#12479;&#65288;&#12471;&#12531;&#12503;&#12523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変更履歴"/>
      <sheetName val="入力データ"/>
      <sheetName val="計算条件"/>
      <sheetName val="開口部・建具"/>
      <sheetName val="庇"/>
      <sheetName val="壁体構成"/>
      <sheetName val="壁体構成（感度解析用）"/>
      <sheetName val="壁体構成（NEDO実験棟土壌10m）"/>
      <sheetName val="壁体構成（NEDO実験棟土間深さ検討用）"/>
      <sheetName val="壁体構成（単室モデル壁体構成）"/>
      <sheetName val="固定根"/>
      <sheetName val="応答係数"/>
      <sheetName val="気象データ"/>
      <sheetName val="主たる居室"/>
      <sheetName val="その他居室_寝室"/>
      <sheetName val="その他居室_子供室1"/>
      <sheetName val="その他居室_子供室2"/>
      <sheetName val="その他居室_和室"/>
      <sheetName val="非居室"/>
      <sheetName val="熱負荷・室温計算Template"/>
      <sheetName val="部位熱取得Template"/>
      <sheetName val="傾斜面日射量Template"/>
      <sheetName val="表面温度Template"/>
      <sheetName val="室内等価温度Template"/>
      <sheetName val="非定常畳み込みTemplate"/>
      <sheetName val="BRCTemplate"/>
      <sheetName val="BRMTemplate"/>
      <sheetName val="室内表面吸収日射Template"/>
      <sheetName val="相当外気温度Template"/>
      <sheetName val="開口部日射Template"/>
      <sheetName val="庇Template"/>
      <sheetName val="応答係数Template"/>
      <sheetName val="カレンダー"/>
      <sheetName val="局所換気スケジュール"/>
      <sheetName val="暖冷房スケジュール"/>
      <sheetName val="機器発熱スケジュール"/>
      <sheetName val="照明発熱スケジュール"/>
      <sheetName val="人体スケジュール"/>
    </sheetNames>
    <sheetDataSet>
      <sheetData sheetId="0" refreshError="1"/>
      <sheetData sheetId="1">
        <row r="2">
          <cell r="C2">
            <v>3600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C19"/>
  <sheetViews>
    <sheetView showGridLines="0" workbookViewId="0">
      <selection activeCell="C14" sqref="C14"/>
    </sheetView>
  </sheetViews>
  <sheetFormatPr defaultRowHeight="10.8"/>
  <cols>
    <col min="1" max="1" width="11.125" style="21" bestFit="1" customWidth="1"/>
    <col min="2" max="2" width="16.125" bestFit="1" customWidth="1"/>
    <col min="3" max="3" width="58.5" style="11" bestFit="1" customWidth="1"/>
  </cols>
  <sheetData>
    <row r="1" spans="1:3">
      <c r="A1" s="14" t="s">
        <v>0</v>
      </c>
      <c r="B1" s="14" t="s">
        <v>18</v>
      </c>
      <c r="C1" s="15" t="s">
        <v>19</v>
      </c>
    </row>
    <row r="2" spans="1:3">
      <c r="A2" s="19">
        <v>43306</v>
      </c>
      <c r="B2" s="3" t="s">
        <v>38</v>
      </c>
      <c r="C2" s="16" t="s">
        <v>39</v>
      </c>
    </row>
    <row r="3" spans="1:3">
      <c r="A3" s="19"/>
      <c r="B3" s="3"/>
      <c r="C3" s="16"/>
    </row>
    <row r="4" spans="1:3">
      <c r="A4" s="19"/>
      <c r="B4" s="3"/>
      <c r="C4" s="16"/>
    </row>
    <row r="5" spans="1:3">
      <c r="A5" s="19"/>
      <c r="B5" s="3"/>
      <c r="C5" s="16"/>
    </row>
    <row r="6" spans="1:3">
      <c r="A6" s="19"/>
      <c r="B6" s="3"/>
      <c r="C6" s="16"/>
    </row>
    <row r="7" spans="1:3">
      <c r="A7" s="19"/>
      <c r="B7" s="3"/>
      <c r="C7" s="16"/>
    </row>
    <row r="8" spans="1:3">
      <c r="A8" s="19"/>
      <c r="B8" s="3"/>
      <c r="C8" s="16"/>
    </row>
    <row r="9" spans="1:3">
      <c r="A9" s="19"/>
      <c r="B9" s="3"/>
      <c r="C9" s="16"/>
    </row>
    <row r="10" spans="1:3">
      <c r="A10" s="19"/>
      <c r="B10" s="16"/>
      <c r="C10" s="16"/>
    </row>
    <row r="11" spans="1:3">
      <c r="A11" s="19"/>
      <c r="B11" s="16"/>
      <c r="C11" s="16"/>
    </row>
    <row r="12" spans="1:3">
      <c r="A12" s="19"/>
      <c r="B12" s="16"/>
      <c r="C12" s="16"/>
    </row>
    <row r="13" spans="1:3">
      <c r="A13" s="19"/>
      <c r="B13" s="3"/>
      <c r="C13" s="16"/>
    </row>
    <row r="14" spans="1:3">
      <c r="A14" s="19"/>
      <c r="B14" s="18"/>
      <c r="C14" s="16"/>
    </row>
    <row r="15" spans="1:3">
      <c r="A15" s="19"/>
      <c r="B15" s="3"/>
      <c r="C15" s="16"/>
    </row>
    <row r="16" spans="1:3">
      <c r="A16" s="19"/>
      <c r="B16" s="18"/>
      <c r="C16" s="16"/>
    </row>
    <row r="17" spans="1:3">
      <c r="A17" s="19"/>
      <c r="B17" s="18"/>
      <c r="C17" s="16"/>
    </row>
    <row r="18" spans="1:3">
      <c r="A18" s="19"/>
      <c r="B18" s="3"/>
      <c r="C18" s="16"/>
    </row>
    <row r="19" spans="1:3">
      <c r="A19" s="19"/>
      <c r="B19" s="18"/>
      <c r="C19" s="16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Q10"/>
  <sheetViews>
    <sheetView showGridLines="0" tabSelected="1" workbookViewId="0">
      <pane xSplit="1" ySplit="5" topLeftCell="B6" activePane="bottomRight" state="frozen"/>
      <selection activeCell="K50" sqref="K50"/>
      <selection pane="topRight" activeCell="K50" sqref="K50"/>
      <selection pane="bottomLeft" activeCell="K50" sqref="K50"/>
      <selection pane="bottomRight" activeCell="G6" sqref="G6"/>
    </sheetView>
  </sheetViews>
  <sheetFormatPr defaultRowHeight="17.25" customHeight="1"/>
  <cols>
    <col min="1" max="1" width="16.125" bestFit="1" customWidth="1"/>
    <col min="2" max="2" width="38.875" bestFit="1" customWidth="1"/>
    <col min="3" max="3" width="11.125" bestFit="1" customWidth="1"/>
    <col min="4" max="4" width="11.625" bestFit="1" customWidth="1"/>
    <col min="5" max="5" width="6.375" bestFit="1" customWidth="1"/>
    <col min="6" max="6" width="13.125" bestFit="1" customWidth="1"/>
    <col min="7" max="7" width="18.375" bestFit="1" customWidth="1"/>
    <col min="8" max="8" width="14.375" bestFit="1" customWidth="1"/>
    <col min="9" max="9" width="19.125" bestFit="1" customWidth="1"/>
    <col min="10" max="11" width="19.125" customWidth="1"/>
    <col min="12" max="12" width="11.875" bestFit="1" customWidth="1"/>
    <col min="13" max="17" width="10.875" bestFit="1" customWidth="1"/>
  </cols>
  <sheetData>
    <row r="1" spans="1:17" ht="17.25" customHeight="1">
      <c r="C1" s="3" t="s">
        <v>11</v>
      </c>
      <c r="D1" s="6">
        <v>900</v>
      </c>
      <c r="E1" s="7" t="s">
        <v>12</v>
      </c>
      <c r="G1" s="3" t="s">
        <v>34</v>
      </c>
      <c r="H1" s="20">
        <v>1.0597E-9</v>
      </c>
      <c r="I1" s="20">
        <v>4.2389000000000003E-9</v>
      </c>
      <c r="J1" s="20">
        <v>1.6956E-8</v>
      </c>
      <c r="K1" s="20">
        <v>6.7806000000000005E-8</v>
      </c>
      <c r="L1" s="20">
        <v>2.7127999999999998E-7</v>
      </c>
      <c r="M1" s="20">
        <v>1.085E-6</v>
      </c>
      <c r="N1" s="20">
        <v>4.3417000000000003E-6</v>
      </c>
      <c r="O1" s="20">
        <v>1.7360999999999999E-5</v>
      </c>
      <c r="P1" s="3">
        <v>6.9444399999999995E-5</v>
      </c>
      <c r="Q1" s="3">
        <v>2.7777800000000001E-4</v>
      </c>
    </row>
    <row r="2" spans="1:17" ht="17.25" customHeight="1">
      <c r="C2" s="3" t="s">
        <v>13</v>
      </c>
      <c r="D2" s="6">
        <v>50</v>
      </c>
      <c r="E2" s="7" t="s">
        <v>14</v>
      </c>
      <c r="G2" s="3" t="s">
        <v>35</v>
      </c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17" ht="17.25" customHeight="1">
      <c r="C3" s="3" t="s">
        <v>37</v>
      </c>
      <c r="D3" s="24"/>
      <c r="E3" s="7" t="s">
        <v>14</v>
      </c>
      <c r="G3" s="22" t="s">
        <v>36</v>
      </c>
      <c r="H3" s="23"/>
      <c r="I3" s="23"/>
      <c r="J3" s="23"/>
      <c r="K3" s="23"/>
      <c r="M3" s="23"/>
    </row>
    <row r="4" spans="1:17" ht="17.25" customHeight="1">
      <c r="A4" s="1" t="s">
        <v>9</v>
      </c>
      <c r="B4" s="1" t="s">
        <v>8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16</v>
      </c>
      <c r="I4" s="1" t="s">
        <v>17</v>
      </c>
      <c r="J4" s="1" t="s">
        <v>22</v>
      </c>
      <c r="K4" s="1" t="s">
        <v>20</v>
      </c>
      <c r="L4" s="1" t="s">
        <v>10</v>
      </c>
      <c r="M4" s="23"/>
    </row>
    <row r="5" spans="1:17" ht="17.25" customHeight="1">
      <c r="A5" s="12"/>
      <c r="B5" s="12"/>
      <c r="C5" s="12" t="s">
        <v>24</v>
      </c>
      <c r="D5" s="12" t="s">
        <v>15</v>
      </c>
      <c r="E5" s="12" t="s">
        <v>7</v>
      </c>
      <c r="F5" s="12" t="s">
        <v>23</v>
      </c>
      <c r="G5" s="12" t="s">
        <v>25</v>
      </c>
      <c r="H5" s="12" t="s">
        <v>1</v>
      </c>
      <c r="I5" s="12" t="s">
        <v>1</v>
      </c>
      <c r="J5" s="12" t="s">
        <v>21</v>
      </c>
      <c r="K5" s="12" t="s">
        <v>21</v>
      </c>
      <c r="L5" s="12" t="s">
        <v>21</v>
      </c>
      <c r="N5" t="b">
        <v>1</v>
      </c>
    </row>
    <row r="6" spans="1:17" ht="17.25" customHeight="1">
      <c r="A6" s="8" t="s">
        <v>48</v>
      </c>
      <c r="B6" s="3" t="s">
        <v>41</v>
      </c>
      <c r="C6" s="25">
        <v>3.4000000000000002E-2</v>
      </c>
      <c r="D6" s="3">
        <v>36</v>
      </c>
      <c r="E6" s="3">
        <v>30</v>
      </c>
      <c r="F6" s="29">
        <f>IF(E6&gt;0,E6/1000/C6,IF(E6=0,1/C6,0))</f>
        <v>0.88235294117647045</v>
      </c>
      <c r="G6" s="28">
        <f>IF(E6&gt;0,D6*E6/1000,0)</f>
        <v>1.08</v>
      </c>
      <c r="H6" s="8">
        <v>0.9</v>
      </c>
      <c r="I6" s="8">
        <v>0.8</v>
      </c>
      <c r="J6" s="8">
        <v>4.0999999999999996</v>
      </c>
      <c r="K6" s="8">
        <v>5</v>
      </c>
      <c r="L6" s="17">
        <f>1/(SUM(F6:F8)+1/SUM(J6:K6))</f>
        <v>0.2458667916926586</v>
      </c>
      <c r="N6" t="b">
        <v>0</v>
      </c>
    </row>
    <row r="7" spans="1:17" ht="17.25" customHeight="1">
      <c r="A7" s="9"/>
      <c r="B7" s="3" t="s">
        <v>40</v>
      </c>
      <c r="C7" s="25">
        <v>1.6</v>
      </c>
      <c r="D7" s="3">
        <v>2000</v>
      </c>
      <c r="E7" s="3">
        <v>120</v>
      </c>
      <c r="F7" s="29">
        <f>IF(E7&gt;0,E7/1000/C7,IF(E7=0,1/C7,0))</f>
        <v>7.4999999999999997E-2</v>
      </c>
      <c r="G7" s="28">
        <f>IF(E7&gt;0,D7*E7/1000,0)</f>
        <v>240</v>
      </c>
      <c r="H7" s="9"/>
      <c r="I7" s="9"/>
      <c r="J7" s="9"/>
      <c r="K7" s="9"/>
      <c r="L7" s="26"/>
      <c r="N7" t="b">
        <v>0</v>
      </c>
    </row>
    <row r="8" spans="1:17" ht="17.25" customHeight="1">
      <c r="A8" s="9"/>
      <c r="B8" s="3" t="s">
        <v>49</v>
      </c>
      <c r="C8" s="25">
        <v>1</v>
      </c>
      <c r="D8" s="3">
        <v>3300</v>
      </c>
      <c r="E8" s="3">
        <v>3000</v>
      </c>
      <c r="F8" s="29">
        <f>IF(E8&gt;0,E8/1000/C8,IF(E8=0,1/C8,0))</f>
        <v>3</v>
      </c>
      <c r="G8" s="28">
        <f>IF(E8&gt;0,D8*E8/1000,0)</f>
        <v>9900</v>
      </c>
      <c r="H8" s="9"/>
      <c r="I8" s="9"/>
      <c r="J8" s="9"/>
      <c r="K8" s="9"/>
      <c r="L8" s="26"/>
      <c r="N8" t="b">
        <v>0</v>
      </c>
    </row>
    <row r="9" spans="1:17" ht="17.25" customHeight="1">
      <c r="A9" s="9"/>
      <c r="F9" s="27">
        <f>SUM(F6:F8)</f>
        <v>3.9573529411764703</v>
      </c>
      <c r="H9" s="9"/>
      <c r="I9" s="9"/>
      <c r="J9" s="9"/>
      <c r="K9" s="9"/>
      <c r="L9" s="26"/>
    </row>
    <row r="10" spans="1:17" ht="17.25" customHeight="1">
      <c r="A10" s="10"/>
      <c r="H10" s="10"/>
      <c r="I10" s="10"/>
      <c r="J10" s="10"/>
      <c r="K10" s="10"/>
      <c r="L10" s="10"/>
    </row>
  </sheetData>
  <phoneticPr fontId="3"/>
  <conditionalFormatting sqref="B34:G1048576 F7:G8">
    <cfRule type="expression" dxfId="4" priority="449">
      <formula>$E7&lt;0</formula>
    </cfRule>
  </conditionalFormatting>
  <conditionalFormatting sqref="H8:L8">
    <cfRule type="expression" dxfId="3" priority="78">
      <formula>$E7&lt;0</formula>
    </cfRule>
  </conditionalFormatting>
  <conditionalFormatting sqref="H36:L1048576">
    <cfRule type="expression" dxfId="2" priority="75">
      <formula>$E34&lt;0</formula>
    </cfRule>
  </conditionalFormatting>
  <conditionalFormatting sqref="L6">
    <cfRule type="expression" dxfId="1" priority="47">
      <formula>#REF!&lt;0</formula>
    </cfRule>
  </conditionalFormatting>
  <conditionalFormatting sqref="F6:G6">
    <cfRule type="expression" dxfId="0" priority="3">
      <formula>$E6&lt;0</formula>
    </cfRule>
  </conditionalFormatting>
  <pageMargins left="0.7" right="0.7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7422" r:id="rId4" name="OptionButton4">
          <controlPr defaultSize="0" autoLine="0" autoPict="0" linkedCell="N8" r:id="rId5">
            <anchor moveWithCells="1">
              <from>
                <xdr:col>15</xdr:col>
                <xdr:colOff>327660</xdr:colOff>
                <xdr:row>2</xdr:row>
                <xdr:rowOff>114300</xdr:rowOff>
              </from>
              <to>
                <xdr:col>16</xdr:col>
                <xdr:colOff>365760</xdr:colOff>
                <xdr:row>3</xdr:row>
                <xdr:rowOff>160020</xdr:rowOff>
              </to>
            </anchor>
          </controlPr>
        </control>
      </mc:Choice>
      <mc:Fallback>
        <control shapeId="17422" r:id="rId4" name="OptionButton4"/>
      </mc:Fallback>
    </mc:AlternateContent>
    <mc:AlternateContent xmlns:mc="http://schemas.openxmlformats.org/markup-compatibility/2006">
      <mc:Choice Requires="x14">
        <control shapeId="17421" r:id="rId6" name="OptionButton3">
          <controlPr defaultSize="0" autoLine="0" autoPict="0" linkedCell="N7" r:id="rId7">
            <anchor moveWithCells="1">
              <from>
                <xdr:col>14</xdr:col>
                <xdr:colOff>449580</xdr:colOff>
                <xdr:row>2</xdr:row>
                <xdr:rowOff>106680</xdr:rowOff>
              </from>
              <to>
                <xdr:col>15</xdr:col>
                <xdr:colOff>342900</xdr:colOff>
                <xdr:row>3</xdr:row>
                <xdr:rowOff>152400</xdr:rowOff>
              </to>
            </anchor>
          </controlPr>
        </control>
      </mc:Choice>
      <mc:Fallback>
        <control shapeId="17421" r:id="rId6" name="OptionButton3"/>
      </mc:Fallback>
    </mc:AlternateContent>
    <mc:AlternateContent xmlns:mc="http://schemas.openxmlformats.org/markup-compatibility/2006">
      <mc:Choice Requires="x14">
        <control shapeId="17420" r:id="rId8" name="OptionButton2">
          <controlPr defaultSize="0" autoLine="0" autoPict="0" linkedCell="N6" r:id="rId9">
            <anchor moveWithCells="1">
              <from>
                <xdr:col>13</xdr:col>
                <xdr:colOff>624840</xdr:colOff>
                <xdr:row>2</xdr:row>
                <xdr:rowOff>106680</xdr:rowOff>
              </from>
              <to>
                <xdr:col>14</xdr:col>
                <xdr:colOff>403860</xdr:colOff>
                <xdr:row>3</xdr:row>
                <xdr:rowOff>152400</xdr:rowOff>
              </to>
            </anchor>
          </controlPr>
        </control>
      </mc:Choice>
      <mc:Fallback>
        <control shapeId="17420" r:id="rId8" name="OptionButton2"/>
      </mc:Fallback>
    </mc:AlternateContent>
    <mc:AlternateContent xmlns:mc="http://schemas.openxmlformats.org/markup-compatibility/2006">
      <mc:Choice Requires="x14">
        <control shapeId="17419" r:id="rId10" name="OptionButton1">
          <controlPr defaultSize="0" autoLine="0" autoPict="0" linkedCell="N5" r:id="rId11">
            <anchor moveWithCells="1">
              <from>
                <xdr:col>12</xdr:col>
                <xdr:colOff>518160</xdr:colOff>
                <xdr:row>2</xdr:row>
                <xdr:rowOff>106680</xdr:rowOff>
              </from>
              <to>
                <xdr:col>13</xdr:col>
                <xdr:colOff>609600</xdr:colOff>
                <xdr:row>3</xdr:row>
                <xdr:rowOff>152400</xdr:rowOff>
              </to>
            </anchor>
          </controlPr>
        </control>
      </mc:Choice>
      <mc:Fallback>
        <control shapeId="17419" r:id="rId10" name="OptionButton1"/>
      </mc:Fallback>
    </mc:AlternateContent>
    <mc:AlternateContent xmlns:mc="http://schemas.openxmlformats.org/markup-compatibility/2006">
      <mc:Choice Requires="x14">
        <control shapeId="17423" r:id="rId12" name="OptionButton5">
          <controlPr defaultSize="0" autoLine="0" autoPict="0" linkedCell="#REF!" r:id="rId13">
            <anchor moveWithCells="1">
              <from>
                <xdr:col>16</xdr:col>
                <xdr:colOff>388620</xdr:colOff>
                <xdr:row>2</xdr:row>
                <xdr:rowOff>121920</xdr:rowOff>
              </from>
              <to>
                <xdr:col>17</xdr:col>
                <xdr:colOff>106680</xdr:colOff>
                <xdr:row>3</xdr:row>
                <xdr:rowOff>167640</xdr:rowOff>
              </to>
            </anchor>
          </controlPr>
        </control>
      </mc:Choice>
      <mc:Fallback>
        <control shapeId="17423" r:id="rId12" name="OptionButton5"/>
      </mc:Fallback>
    </mc:AlternateContent>
    <mc:AlternateContent xmlns:mc="http://schemas.openxmlformats.org/markup-compatibility/2006">
      <mc:Choice Requires="x14">
        <control shapeId="17424" r:id="rId14" name="OptionButton6">
          <controlPr defaultSize="0" autoLine="0" linkedCell="#REF!" r:id="rId15">
            <anchor moveWithCells="1">
              <from>
                <xdr:col>17</xdr:col>
                <xdr:colOff>114300</xdr:colOff>
                <xdr:row>2</xdr:row>
                <xdr:rowOff>121920</xdr:rowOff>
              </from>
              <to>
                <xdr:col>17</xdr:col>
                <xdr:colOff>495300</xdr:colOff>
                <xdr:row>3</xdr:row>
                <xdr:rowOff>167640</xdr:rowOff>
              </to>
            </anchor>
          </controlPr>
        </control>
      </mc:Choice>
      <mc:Fallback>
        <control shapeId="17424" r:id="rId14" name="Option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N20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12" sqref="J12"/>
    </sheetView>
  </sheetViews>
  <sheetFormatPr defaultRowHeight="10.8"/>
  <cols>
    <col min="1" max="1" width="8.625" customWidth="1"/>
    <col min="2" max="9" width="9.875" style="2" customWidth="1"/>
    <col min="15" max="161" width="9.875" customWidth="1"/>
  </cols>
  <sheetData>
    <row r="1" spans="1:14">
      <c r="B1" s="4" t="s">
        <v>47</v>
      </c>
      <c r="C1" s="4"/>
      <c r="D1" s="4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 ht="32.4">
      <c r="B2" s="13" t="s">
        <v>26</v>
      </c>
      <c r="C2" s="13" t="s">
        <v>27</v>
      </c>
      <c r="D2" s="13" t="s">
        <v>28</v>
      </c>
      <c r="E2" s="13" t="s">
        <v>29</v>
      </c>
      <c r="F2" s="13" t="s">
        <v>42</v>
      </c>
      <c r="G2" s="13" t="s">
        <v>43</v>
      </c>
      <c r="H2" s="13" t="s">
        <v>30</v>
      </c>
      <c r="I2" s="13" t="s">
        <v>31</v>
      </c>
      <c r="J2" s="13" t="s">
        <v>32</v>
      </c>
      <c r="K2" s="13" t="s">
        <v>33</v>
      </c>
      <c r="L2" s="13" t="s">
        <v>44</v>
      </c>
      <c r="M2" s="13" t="s">
        <v>45</v>
      </c>
      <c r="N2" s="13" t="s">
        <v>46</v>
      </c>
    </row>
    <row r="3" spans="1:14">
      <c r="A3">
        <v>1</v>
      </c>
      <c r="B3" s="2">
        <v>9.3452278279105294E-3</v>
      </c>
      <c r="C3" s="2">
        <v>0.69016242634654157</v>
      </c>
      <c r="D3" s="2">
        <v>6.5353405459405434E-3</v>
      </c>
      <c r="E3" s="2">
        <v>0.7249073970928388</v>
      </c>
      <c r="F3" s="2">
        <v>8.7717289651411331E-3</v>
      </c>
      <c r="G3" s="2">
        <v>1.1236680946347867E-2</v>
      </c>
      <c r="H3" s="2">
        <v>1.0597E-9</v>
      </c>
      <c r="I3" s="2">
        <v>0.99999904627045477</v>
      </c>
      <c r="J3">
        <v>-8.3658530876484015E-9</v>
      </c>
      <c r="K3">
        <v>-1.0716749498701795E-8</v>
      </c>
      <c r="L3">
        <v>5.2984375011058325E-10</v>
      </c>
      <c r="M3">
        <v>0.99179997853288993</v>
      </c>
      <c r="N3">
        <v>3.9405471447531597</v>
      </c>
    </row>
    <row r="4" spans="1:14">
      <c r="A4">
        <v>2</v>
      </c>
      <c r="B4" s="2">
        <v>4.0380597584760598E-3</v>
      </c>
      <c r="C4" s="2">
        <v>0.75677750919903009</v>
      </c>
      <c r="D4" s="2">
        <v>-4.4490120741471932E-3</v>
      </c>
      <c r="E4" s="2">
        <v>5.866869603763053E-2</v>
      </c>
      <c r="F4" s="2">
        <v>-4.1300799595584047E-2</v>
      </c>
      <c r="G4" s="2">
        <v>-5.4571234229150861E-2</v>
      </c>
      <c r="H4" s="2">
        <v>4.2389000000000003E-9</v>
      </c>
      <c r="I4" s="2">
        <v>0.99999618499727716</v>
      </c>
      <c r="J4">
        <v>1.5756236236067519E-7</v>
      </c>
      <c r="K4">
        <v>2.0818901005011298E-7</v>
      </c>
      <c r="L4">
        <v>1.0597E-9</v>
      </c>
      <c r="M4">
        <v>0.98371112469959177</v>
      </c>
      <c r="N4">
        <v>3.9239600063645494</v>
      </c>
    </row>
    <row r="5" spans="1:14">
      <c r="A5">
        <v>3</v>
      </c>
      <c r="B5" s="2">
        <v>3.7142678091795433E-4</v>
      </c>
      <c r="C5" s="2">
        <v>0.80814560716693373</v>
      </c>
      <c r="D5" s="2">
        <v>-3.0177423004367843E-3</v>
      </c>
      <c r="E5" s="2">
        <v>4.5208414186249449E-2</v>
      </c>
      <c r="F5" s="2">
        <v>0.12643069464461437</v>
      </c>
      <c r="G5" s="2">
        <v>0.18081875402769587</v>
      </c>
      <c r="H5" s="2">
        <v>1.6956E-8</v>
      </c>
      <c r="I5" s="2">
        <v>0.99998473971643931</v>
      </c>
      <c r="J5">
        <v>-1.9293535296617784E-6</v>
      </c>
      <c r="K5">
        <v>-2.7593244053036663E-6</v>
      </c>
      <c r="L5">
        <v>2.1194249998525543E-9</v>
      </c>
      <c r="M5">
        <v>0.96785857960640553</v>
      </c>
      <c r="N5">
        <v>3.8914254113751214</v>
      </c>
    </row>
    <row r="6" spans="1:14">
      <c r="A6">
        <v>4</v>
      </c>
      <c r="B6" s="2">
        <v>-2.0560016814163743E-3</v>
      </c>
      <c r="C6" s="2">
        <v>0.8476966381795572</v>
      </c>
      <c r="D6" s="2">
        <v>-1.9402264940035522E-3</v>
      </c>
      <c r="E6" s="2">
        <v>3.4780952327929153E-2</v>
      </c>
      <c r="F6" s="2">
        <v>-1.2933392298142814</v>
      </c>
      <c r="G6" s="2">
        <v>-2.3834047082311041</v>
      </c>
      <c r="H6" s="2">
        <v>6.7806000000000005E-8</v>
      </c>
      <c r="I6" s="2">
        <v>0.9999389764620118</v>
      </c>
      <c r="J6">
        <v>7.8921727482780951E-5</v>
      </c>
      <c r="K6">
        <v>1.4543934996172892E-4</v>
      </c>
      <c r="L6">
        <v>4.2389000000000003E-9</v>
      </c>
      <c r="M6">
        <v>0.93739648532145881</v>
      </c>
      <c r="N6">
        <v>3.828802110416055</v>
      </c>
    </row>
    <row r="7" spans="1:14">
      <c r="A7">
        <v>5</v>
      </c>
      <c r="B7" s="2">
        <v>-3.5542348064752293E-3</v>
      </c>
      <c r="C7" s="2">
        <v>0.87809810315485626</v>
      </c>
      <c r="D7" s="2">
        <v>-1.1357470279151351E-3</v>
      </c>
      <c r="E7" s="2">
        <v>2.6711846966771889E-2</v>
      </c>
      <c r="F7" s="2">
        <v>1.3580712298412234E-2</v>
      </c>
      <c r="G7" s="2">
        <v>-0.39537255176452779</v>
      </c>
      <c r="H7" s="2">
        <v>2.7127999999999998E-7</v>
      </c>
      <c r="I7" s="2">
        <v>0.99975587780267405</v>
      </c>
      <c r="J7">
        <v>-3.3149486354030676E-6</v>
      </c>
      <c r="K7">
        <v>9.6507434378157131E-5</v>
      </c>
      <c r="L7">
        <v>8.4778999994102329E-9</v>
      </c>
      <c r="M7">
        <v>0.88102271080145</v>
      </c>
      <c r="N7">
        <v>3.7125137538430022</v>
      </c>
    </row>
    <row r="8" spans="1:14">
      <c r="A8">
        <v>6</v>
      </c>
      <c r="B8" s="2">
        <v>-4.3623186643117415E-3</v>
      </c>
      <c r="C8" s="2">
        <v>0.90142396117153589</v>
      </c>
      <c r="D8" s="2">
        <v>-5.4159415052566372E-4</v>
      </c>
      <c r="E8" s="2">
        <v>2.047604747960393E-2</v>
      </c>
      <c r="F8" s="2">
        <v>0.29978246043198276</v>
      </c>
      <c r="G8" s="2">
        <v>-0.17889424081995586</v>
      </c>
      <c r="H8" s="2">
        <v>1.085E-6</v>
      </c>
      <c r="I8" s="2">
        <v>0.9990239766209722</v>
      </c>
      <c r="J8">
        <v>-2.9245187713608408E-4</v>
      </c>
      <c r="K8">
        <v>1.7451973828369163E-4</v>
      </c>
      <c r="L8">
        <v>1.6956E-8</v>
      </c>
      <c r="M8">
        <v>0.7836581100303498</v>
      </c>
      <c r="N8">
        <v>3.5102507982709898</v>
      </c>
    </row>
    <row r="9" spans="1:14">
      <c r="A9">
        <v>7</v>
      </c>
      <c r="B9" s="2">
        <v>-4.6641816315377621E-3</v>
      </c>
      <c r="C9" s="2">
        <v>0.9192861356303822</v>
      </c>
      <c r="D9" s="2">
        <v>-1.0907331495156621E-4</v>
      </c>
      <c r="E9" s="2">
        <v>1.5664852580391134E-2</v>
      </c>
      <c r="F9" s="2">
        <v>-0.18086787318674613</v>
      </c>
      <c r="G9" s="2">
        <v>-0.13465715676408951</v>
      </c>
      <c r="H9" s="2">
        <v>4.3417000000000003E-6</v>
      </c>
      <c r="I9" s="2">
        <v>0.99610009446118053</v>
      </c>
      <c r="J9">
        <v>7.0399129113283133E-4</v>
      </c>
      <c r="K9">
        <v>5.2412550653895863E-4</v>
      </c>
      <c r="L9">
        <v>3.3907499701393498E-8</v>
      </c>
      <c r="M9">
        <v>0.63428289890220324</v>
      </c>
      <c r="N9">
        <v>3.1952996803844642</v>
      </c>
    </row>
    <row r="10" spans="1:14">
      <c r="A10">
        <v>8</v>
      </c>
      <c r="B10" s="2">
        <v>-4.6009657595357627E-3</v>
      </c>
      <c r="C10" s="2">
        <v>0.9329369182513001</v>
      </c>
      <c r="D10" s="2">
        <v>1.9960374845153495E-4</v>
      </c>
      <c r="E10" s="2">
        <v>1.1960161236843575E-2</v>
      </c>
      <c r="F10" s="2">
        <v>0.11137015382891868</v>
      </c>
      <c r="G10" s="2">
        <v>-9.965559360557652E-2</v>
      </c>
      <c r="H10" s="2">
        <v>1.7360999999999999E-5</v>
      </c>
      <c r="I10" s="2">
        <v>0.984496535455057</v>
      </c>
      <c r="J10">
        <v>-1.7132040555896282E-3</v>
      </c>
      <c r="K10">
        <v>1.5329992934151196E-3</v>
      </c>
      <c r="L10">
        <v>6.7806000000000005E-8</v>
      </c>
      <c r="M10">
        <v>0.4431969128393709</v>
      </c>
      <c r="N10">
        <v>2.7791226387804584</v>
      </c>
    </row>
    <row r="11" spans="1:14">
      <c r="A11">
        <v>9</v>
      </c>
      <c r="B11" s="2">
        <v>-4.2806219504947004E-3</v>
      </c>
      <c r="C11" s="2">
        <v>0.94334870908007284</v>
      </c>
      <c r="D11" s="2">
        <v>4.1373973436226934E-4</v>
      </c>
      <c r="E11" s="2">
        <v>9.1144200373487697E-3</v>
      </c>
      <c r="F11" s="2">
        <v>-7.3639360832437939E-2</v>
      </c>
      <c r="G11" s="2">
        <v>0.10636734482091104</v>
      </c>
      <c r="H11" s="2">
        <v>6.9444399999999995E-5</v>
      </c>
      <c r="I11" s="2">
        <v>0.93941310038999903</v>
      </c>
      <c r="J11">
        <v>4.3250161058960264E-3</v>
      </c>
      <c r="K11">
        <v>-6.247209023699048E-3</v>
      </c>
      <c r="L11">
        <v>1.3562599927742467E-7</v>
      </c>
      <c r="M11">
        <v>0.2518090593995303</v>
      </c>
      <c r="N11">
        <v>2.3305533631029474</v>
      </c>
    </row>
    <row r="12" spans="1:14">
      <c r="A12">
        <v>10</v>
      </c>
      <c r="B12" s="2">
        <v>-3.7853747012329842E-3</v>
      </c>
      <c r="C12" s="2">
        <v>0.95127610651070338</v>
      </c>
      <c r="D12" s="2">
        <v>5.5603650678322388E-4</v>
      </c>
      <c r="E12" s="2">
        <v>6.9350069103760632E-3</v>
      </c>
      <c r="F12" s="2">
        <v>3.8556741087890867E-2</v>
      </c>
      <c r="G12" s="2">
        <v>-0.31905780921047922</v>
      </c>
      <c r="H12" s="2">
        <v>2.7777800000000001E-4</v>
      </c>
      <c r="I12" s="2">
        <v>0.77880062731126387</v>
      </c>
      <c r="J12">
        <v>-7.5461901602773282E-3</v>
      </c>
      <c r="K12">
        <v>6.2444875590896676E-2</v>
      </c>
      <c r="L12">
        <v>2.7127999999999998E-7</v>
      </c>
      <c r="M12">
        <v>0.10886566889901392</v>
      </c>
      <c r="N12">
        <v>1.9344168551672229</v>
      </c>
    </row>
    <row r="13" spans="1:14">
      <c r="A13">
        <v>11</v>
      </c>
      <c r="B13" s="2">
        <v>-3.1775281497527946E-3</v>
      </c>
      <c r="C13" s="2">
        <v>0.95730425218909787</v>
      </c>
      <c r="D13" s="2">
        <v>6.4406246923357619E-4</v>
      </c>
      <c r="E13" s="2">
        <v>5.272069834175188E-3</v>
      </c>
      <c r="L13">
        <v>5.425299991705527E-7</v>
      </c>
      <c r="M13">
        <v>3.2732497778892401E-2</v>
      </c>
      <c r="N13">
        <v>1.630511700519208</v>
      </c>
    </row>
    <row r="14" spans="1:14">
      <c r="A14">
        <v>12</v>
      </c>
      <c r="B14" s="2">
        <v>-2.5039807826334648E-3</v>
      </c>
      <c r="C14" s="2">
        <v>0.9618864718675274</v>
      </c>
      <c r="D14" s="2">
        <v>6.913949122129803E-4</v>
      </c>
      <c r="E14" s="2">
        <v>4.0090562539433433E-3</v>
      </c>
      <c r="L14">
        <v>1.085E-6</v>
      </c>
      <c r="M14">
        <v>5.9608087104453715E-3</v>
      </c>
      <c r="N14">
        <v>1.4116283703128314</v>
      </c>
    </row>
    <row r="15" spans="1:14">
      <c r="A15">
        <v>13</v>
      </c>
      <c r="B15" s="2">
        <v>-1.7997348743827213E-3</v>
      </c>
      <c r="C15" s="2">
        <v>0.96537358055680556</v>
      </c>
      <c r="D15" s="2">
        <v>7.0850925951456149E-4</v>
      </c>
      <c r="E15" s="2">
        <v>3.0553379850094833E-3</v>
      </c>
      <c r="L15">
        <v>2.1704249583894854E-6</v>
      </c>
      <c r="M15">
        <v>5.3527764203040282E-4</v>
      </c>
      <c r="N15">
        <v>1.2561768895342154</v>
      </c>
    </row>
    <row r="16" spans="1:14">
      <c r="A16">
        <v>14</v>
      </c>
      <c r="B16" s="2">
        <v>-1.0906234251805143E-3</v>
      </c>
      <c r="C16" s="2">
        <v>0.96803669640879775</v>
      </c>
      <c r="D16" s="2">
        <v>7.0347122433582292E-4</v>
      </c>
      <c r="E16" s="2">
        <v>2.3404680455378344E-3</v>
      </c>
      <c r="L16">
        <v>4.3417000000000003E-6</v>
      </c>
      <c r="M16">
        <v>1.7699169304849611E-5</v>
      </c>
      <c r="N16">
        <v>1.1456461062275487</v>
      </c>
    </row>
    <row r="17" spans="1:14">
      <c r="A17">
        <v>15</v>
      </c>
      <c r="B17" s="2">
        <v>-3.9542806331331886E-4</v>
      </c>
      <c r="C17" s="2">
        <v>0.97008499973936713</v>
      </c>
      <c r="D17" s="2">
        <v>6.8247549502659652E-4</v>
      </c>
      <c r="E17" s="2">
        <v>1.8097084028590549E-3</v>
      </c>
      <c r="L17">
        <v>8.6819498789154501E-6</v>
      </c>
      <c r="M17">
        <v>1.4281577024553432E-7</v>
      </c>
      <c r="N17">
        <v>1.0664509615721245</v>
      </c>
    </row>
    <row r="18" spans="1:14">
      <c r="A18">
        <v>16</v>
      </c>
      <c r="B18" s="2">
        <v>2.7247701493605557E-4</v>
      </c>
      <c r="C18" s="2">
        <v>0.97167955583578591</v>
      </c>
      <c r="D18" s="2">
        <v>6.5026492020143654E-4</v>
      </c>
      <c r="E18" s="2">
        <v>1.4205474760927207E-3</v>
      </c>
      <c r="L18">
        <v>1.7360999999999999E-5</v>
      </c>
      <c r="M18">
        <v>1.5637613074493116E-10</v>
      </c>
      <c r="N18">
        <v>1.0085000172537693</v>
      </c>
    </row>
    <row r="19" spans="1:14">
      <c r="A19">
        <v>17</v>
      </c>
      <c r="B19" s="2">
        <v>9.038498946684568E-4</v>
      </c>
      <c r="C19" s="2">
        <v>0.97294407271825367</v>
      </c>
      <c r="D19" s="2">
        <v>6.1045664751750728E-4</v>
      </c>
      <c r="E19" s="2">
        <v>1.1399884314925752E-3</v>
      </c>
      <c r="L19">
        <v>3.4722099999856002E-5</v>
      </c>
      <c r="M19">
        <v>1.0119429493150279E-14</v>
      </c>
      <c r="N19">
        <v>0.96393570631738712</v>
      </c>
    </row>
    <row r="20" spans="1:14">
      <c r="A20">
        <v>18</v>
      </c>
      <c r="B20" s="2">
        <v>1.4925926922053478E-3</v>
      </c>
      <c r="C20" s="2">
        <v>0.97397327229379405</v>
      </c>
      <c r="D20" s="2">
        <v>5.657958174816605E-4</v>
      </c>
      <c r="E20" s="2">
        <v>9.4243774337370771E-4</v>
      </c>
      <c r="L20">
        <v>6.9444399999999995E-5</v>
      </c>
      <c r="M20">
        <v>1.1987551194872731E-20</v>
      </c>
      <c r="N20">
        <v>0.92581258762544971</v>
      </c>
    </row>
    <row r="21" spans="1:14">
      <c r="A21">
        <v>19</v>
      </c>
      <c r="B21" s="2">
        <v>2.0349864492912807E-3</v>
      </c>
      <c r="C21" s="2">
        <v>0.97483940324330087</v>
      </c>
      <c r="D21" s="2">
        <v>5.1835285545561685E-4</v>
      </c>
      <c r="E21" s="2">
        <v>8.0806121569059028E-4</v>
      </c>
      <c r="L21">
        <v>1.38888899999964E-4</v>
      </c>
      <c r="M21">
        <v>4.9361840664294663E-29</v>
      </c>
      <c r="N21">
        <v>0.88674396516471909</v>
      </c>
    </row>
    <row r="22" spans="1:14">
      <c r="A22">
        <v>20</v>
      </c>
      <c r="B22" s="2">
        <v>2.5290995361863721E-3</v>
      </c>
      <c r="C22" s="2">
        <v>0.97559730708811887</v>
      </c>
      <c r="D22" s="2">
        <v>4.6967685517508828E-4</v>
      </c>
      <c r="E22" s="2">
        <v>7.2150403731178028E-4</v>
      </c>
      <c r="L22">
        <v>2.7777800000000001E-4</v>
      </c>
      <c r="M22">
        <v>6.7193059685421619E-41</v>
      </c>
      <c r="N22">
        <v>0.83772367287578953</v>
      </c>
    </row>
    <row r="23" spans="1:14">
      <c r="A23">
        <v>21</v>
      </c>
      <c r="B23" s="2">
        <v>2.9743309242636555E-3</v>
      </c>
      <c r="C23" s="2">
        <v>0.97628835784666157</v>
      </c>
      <c r="D23" s="2">
        <v>4.2091478253835827E-4</v>
      </c>
      <c r="E23" s="2">
        <v>6.7089432352637215E-4</v>
      </c>
    </row>
    <row r="24" spans="1:14">
      <c r="A24">
        <v>22</v>
      </c>
      <c r="B24" s="2">
        <v>3.3710582514415006E-3</v>
      </c>
      <c r="C24" s="2">
        <v>0.97694352479427404</v>
      </c>
      <c r="D24" s="2">
        <v>3.7290407544196644E-4</v>
      </c>
      <c r="E24" s="2">
        <v>6.4706741478627898E-4</v>
      </c>
    </row>
    <row r="25" spans="1:14">
      <c r="A25">
        <v>23</v>
      </c>
      <c r="B25" s="2">
        <v>3.7203672715074255E-3</v>
      </c>
      <c r="C25" s="2">
        <v>0.97758575262604241</v>
      </c>
      <c r="D25" s="2">
        <v>3.2624453876018978E-4</v>
      </c>
      <c r="E25" s="2">
        <v>6.4296208063723502E-4</v>
      </c>
    </row>
    <row r="26" spans="1:14">
      <c r="A26">
        <v>24</v>
      </c>
      <c r="B26" s="2">
        <v>4.0238444702968505E-3</v>
      </c>
      <c r="C26" s="2">
        <v>0.9782318103232106</v>
      </c>
      <c r="D26" s="2">
        <v>2.8135412782080238E-4</v>
      </c>
      <c r="E26" s="2">
        <v>6.5315058408695515E-4</v>
      </c>
    </row>
    <row r="27" spans="1:14">
      <c r="A27">
        <v>25</v>
      </c>
      <c r="B27" s="2">
        <v>4.2834186743322209E-3</v>
      </c>
      <c r="C27" s="2">
        <v>0.97889372653747253</v>
      </c>
      <c r="D27" s="2">
        <v>2.3851219686776793E-4</v>
      </c>
      <c r="E27" s="2">
        <v>6.7347297831155996E-4</v>
      </c>
    </row>
    <row r="28" spans="1:14">
      <c r="A28">
        <v>26</v>
      </c>
      <c r="B28" s="2">
        <v>4.5012406251347808E-3</v>
      </c>
      <c r="C28" s="2">
        <v>0.97957990322919908</v>
      </c>
      <c r="D28" s="2">
        <v>1.9789299711826366E-4</v>
      </c>
      <c r="E28" s="2">
        <v>7.0075256242435602E-4</v>
      </c>
    </row>
    <row r="29" spans="1:14">
      <c r="A29">
        <v>27</v>
      </c>
      <c r="B29" s="2">
        <v>4.6795919430489457E-3</v>
      </c>
      <c r="C29" s="2">
        <v>0.98029597898718079</v>
      </c>
      <c r="D29" s="2">
        <v>1.595915923486815E-4</v>
      </c>
      <c r="E29" s="2">
        <v>7.3257452786432836E-4</v>
      </c>
    </row>
    <row r="30" spans="1:14">
      <c r="A30">
        <v>28</v>
      </c>
      <c r="B30" s="2">
        <v>4.820816812252421E-3</v>
      </c>
      <c r="C30" s="2">
        <v>0.98104549764202609</v>
      </c>
      <c r="D30" s="2">
        <v>1.2364387972267797E-4</v>
      </c>
      <c r="E30" s="2">
        <v>7.671138025460867E-4</v>
      </c>
    </row>
    <row r="31" spans="1:14">
      <c r="A31">
        <v>29</v>
      </c>
      <c r="B31" s="2">
        <v>4.927271203829001E-3</v>
      </c>
      <c r="C31" s="2">
        <v>0.98183042546938559</v>
      </c>
      <c r="D31" s="2">
        <v>9.0042029618462308E-5</v>
      </c>
      <c r="E31" s="2">
        <v>8.0300119604146444E-4</v>
      </c>
    </row>
    <row r="32" spans="1:14">
      <c r="A32">
        <v>30</v>
      </c>
      <c r="B32" s="2">
        <v>5.0012856098003745E-3</v>
      </c>
      <c r="C32" s="2">
        <v>0.98265155068827681</v>
      </c>
      <c r="D32" s="2">
        <v>5.8746367013872665E-5</v>
      </c>
      <c r="E32" s="2">
        <v>8.392193602742116E-4</v>
      </c>
    </row>
    <row r="33" spans="1:5">
      <c r="A33">
        <v>31</v>
      </c>
      <c r="B33" s="2">
        <v>5.0451381607688689E-3</v>
      </c>
      <c r="C33" s="2">
        <v>0.98350879149127191</v>
      </c>
      <c r="D33" s="2">
        <v>2.9694490238255915E-5</v>
      </c>
      <c r="E33" s="2">
        <v>8.750219580098427E-4</v>
      </c>
    </row>
    <row r="34" spans="1:5">
      <c r="A34">
        <v>32</v>
      </c>
      <c r="B34" s="2">
        <v>5.0610357000172674E-3</v>
      </c>
      <c r="C34" s="2">
        <v>0.9844014330275952</v>
      </c>
      <c r="D34" s="2">
        <v>2.8082463414331057E-6</v>
      </c>
      <c r="E34" s="2">
        <v>9.0987089380597749E-4</v>
      </c>
    </row>
    <row r="35" spans="1:5">
      <c r="A35">
        <v>33</v>
      </c>
      <c r="B35" s="2">
        <v>5.0511009316858259E-3</v>
      </c>
      <c r="C35" s="2">
        <v>0.98532830923161885</v>
      </c>
      <c r="D35" s="2">
        <v>-2.2000955142146567E-5</v>
      </c>
      <c r="E35" s="2">
        <v>9.4338760094746254E-4</v>
      </c>
    </row>
    <row r="36" spans="1:5">
      <c r="A36">
        <v>34</v>
      </c>
      <c r="B36" s="2">
        <v>5.0173641844636274E-3</v>
      </c>
      <c r="C36" s="2">
        <v>0.98628794186314628</v>
      </c>
      <c r="D36" s="2">
        <v>-4.4828115289396463E-5</v>
      </c>
      <c r="E36" s="2">
        <v>9.7531526479135316E-4</v>
      </c>
    </row>
    <row r="37" spans="1:5">
      <c r="A37">
        <v>35</v>
      </c>
      <c r="B37" s="2">
        <v>4.9617586618384271E-3</v>
      </c>
      <c r="C37" s="2">
        <v>0.98727864638031515</v>
      </c>
      <c r="D37" s="2">
        <v>-6.5771614329662666E-5</v>
      </c>
      <c r="E37" s="2">
        <v>1.0054895536250861E-3</v>
      </c>
    </row>
    <row r="38" spans="1:5">
      <c r="A38">
        <v>36</v>
      </c>
      <c r="B38" s="2">
        <v>4.8861183062254782E-3</v>
      </c>
      <c r="C38" s="2">
        <v>0.98829861212837578</v>
      </c>
      <c r="D38" s="2">
        <v>-8.493094908648196E-5</v>
      </c>
      <c r="E38" s="2">
        <v>1.033815966003636E-3</v>
      </c>
    </row>
    <row r="39" spans="1:5">
      <c r="A39">
        <v>37</v>
      </c>
      <c r="B39" s="2">
        <v>4.7921776034915526E-3</v>
      </c>
      <c r="C39" s="2">
        <v>0.98934596266344366</v>
      </c>
      <c r="D39" s="2">
        <v>-1.0240506327214927E-4</v>
      </c>
      <c r="E39" s="2">
        <v>1.0602523223832013E-3</v>
      </c>
    </row>
    <row r="40" spans="1:5">
      <c r="A40">
        <v>38</v>
      </c>
      <c r="B40" s="2">
        <v>4.6815728091399687E-3</v>
      </c>
      <c r="C40" s="2">
        <v>0.99041880073473676</v>
      </c>
      <c r="D40" s="2">
        <v>-1.1829113389059227E-4</v>
      </c>
      <c r="E40" s="2">
        <v>1.0847952550372799E-3</v>
      </c>
    </row>
    <row r="41" spans="1:5">
      <c r="A41">
        <v>39</v>
      </c>
      <c r="B41" s="2">
        <v>4.5558441976098875E-3</v>
      </c>
      <c r="C41" s="2">
        <v>0.99151524144041259</v>
      </c>
      <c r="D41" s="2">
        <v>-1.3268370759162508E-4</v>
      </c>
      <c r="E41" s="2">
        <v>1.1074698042294146E-3</v>
      </c>
    </row>
    <row r="42" spans="1:5">
      <c r="A42">
        <v>40</v>
      </c>
      <c r="B42" s="2">
        <v>4.4164390293936632E-3</v>
      </c>
      <c r="C42" s="2">
        <v>0.99263343628717415</v>
      </c>
      <c r="D42" s="2">
        <v>-1.4567410462069464E-4</v>
      </c>
      <c r="E42" s="2">
        <v>1.1283214263935045E-3</v>
      </c>
    </row>
    <row r="43" spans="1:5">
      <c r="A43">
        <v>41</v>
      </c>
      <c r="B43" s="2">
        <v>4.264715003005173E-3</v>
      </c>
      <c r="C43" s="2">
        <v>0.99377159027297701</v>
      </c>
      <c r="D43" s="2">
        <v>-1.5735002652515314E-4</v>
      </c>
      <c r="E43" s="2">
        <v>1.1474098740731724E-3</v>
      </c>
    </row>
    <row r="44" spans="1:5">
      <c r="A44">
        <v>42</v>
      </c>
      <c r="B44" s="2">
        <v>4.1019440148718778E-3</v>
      </c>
      <c r="C44" s="2">
        <v>0.994927973636903</v>
      </c>
      <c r="D44" s="2">
        <v>-1.67795318180912E-4</v>
      </c>
      <c r="E44" s="2">
        <v>1.1648045272812295E-3</v>
      </c>
    </row>
    <row r="45" spans="1:5">
      <c r="A45">
        <v>43</v>
      </c>
      <c r="B45" s="2">
        <v>3.9293160935840662E-3</v>
      </c>
      <c r="C45" s="2">
        <v>0.9961009295504375</v>
      </c>
      <c r="D45" s="2">
        <v>-1.7708984590318822E-4</v>
      </c>
      <c r="E45" s="2">
        <v>1.1805808493012035E-3</v>
      </c>
    </row>
    <row r="46" spans="1:5">
      <c r="A46">
        <v>44</v>
      </c>
      <c r="B46" s="2">
        <v>3.7479434084517478E-3</v>
      </c>
      <c r="C46" s="2">
        <v>0.99728887873681926</v>
      </c>
      <c r="D46" s="2">
        <v>-1.8530946211148055E-4</v>
      </c>
      <c r="E46" s="2">
        <v>1.194817712639345E-3</v>
      </c>
    </row>
    <row r="47" spans="1:5">
      <c r="A47">
        <v>45</v>
      </c>
      <c r="B47" s="2">
        <v>3.5588642781943518E-3</v>
      </c>
      <c r="C47" s="2">
        <v>0.99849032178148411</v>
      </c>
      <c r="D47" s="2">
        <v>-1.9252603378441257E-4</v>
      </c>
      <c r="E47" s="2">
        <v>1.2075953974219707E-3</v>
      </c>
    </row>
    <row r="48" spans="1:5">
      <c r="A48">
        <v>46</v>
      </c>
      <c r="B48" s="2">
        <v>3.3630471254882956E-3</v>
      </c>
      <c r="C48" s="2">
        <v>0.999703839722758</v>
      </c>
      <c r="D48" s="2">
        <v>-1.9880751719490933E-4</v>
      </c>
      <c r="E48" s="2">
        <v>1.2189941085821365E-3</v>
      </c>
    </row>
    <row r="49" spans="1:5">
      <c r="A49">
        <v>47</v>
      </c>
      <c r="B49" s="2">
        <v>3.161394338406016E-3</v>
      </c>
      <c r="C49" s="2">
        <v>1.0009280933769082</v>
      </c>
      <c r="D49" s="2">
        <v>-2.0421806549535172E-4</v>
      </c>
      <c r="E49" s="2">
        <v>1.2290928924659594E-3</v>
      </c>
    </row>
    <row r="50" spans="1:5">
      <c r="A50">
        <v>48</v>
      </c>
      <c r="B50" s="2">
        <v>2.9547460114947724E-3</v>
      </c>
      <c r="C50" s="2">
        <v>1.0021618217466994</v>
      </c>
      <c r="D50" s="2">
        <v>-2.088181588867163E-4</v>
      </c>
      <c r="E50" s="2">
        <v>1.2379688601730069E-3</v>
      </c>
    </row>
    <row r="51" spans="1:5">
      <c r="A51">
        <v>49</v>
      </c>
      <c r="B51" s="2">
        <v>2.743883548171957E-3</v>
      </c>
      <c r="C51" s="2">
        <v>1.0034038397812097</v>
      </c>
      <c r="D51" s="2">
        <v>-2.1266474955840614E-4</v>
      </c>
      <c r="E51" s="2">
        <v>1.2456966457099115E-3</v>
      </c>
    </row>
    <row r="52" spans="1:5">
      <c r="A52">
        <v>50</v>
      </c>
      <c r="B52" s="2">
        <v>2.5295331128996389E-3</v>
      </c>
      <c r="C52" s="2">
        <v>1.0046530356914642</v>
      </c>
      <c r="D52" s="2">
        <v>-2.1581141548459719E-4</v>
      </c>
      <c r="E52" s="2">
        <v>1.2523480431919634E-3</v>
      </c>
    </row>
    <row r="53" spans="1:5">
      <c r="A53">
        <v>51</v>
      </c>
      <c r="B53" s="2">
        <v>2.3123689267241427E-3</v>
      </c>
      <c r="C53" s="2">
        <v>1.0059083679774994</v>
      </c>
      <c r="D53" s="2">
        <v>-2.1830851863163521E-4</v>
      </c>
      <c r="E53" s="2">
        <v>1.2579917798945274E-3</v>
      </c>
    </row>
    <row r="54" spans="1:5">
      <c r="A54">
        <v>52</v>
      </c>
      <c r="B54" s="2">
        <v>2.0930164035839389E-3</v>
      </c>
      <c r="C54" s="2">
        <v>1.0071688622845631</v>
      </c>
      <c r="D54" s="2">
        <v>-2.2020336426509555E-4</v>
      </c>
      <c r="E54" s="2">
        <v>1.262693391729296E-3</v>
      </c>
    </row>
    <row r="55" spans="1:5">
      <c r="A55">
        <v>53</v>
      </c>
      <c r="B55" s="2">
        <v>1.8720551276363703E-3</v>
      </c>
      <c r="C55" s="2">
        <v>1.0084336081768559</v>
      </c>
      <c r="D55" s="2">
        <v>-2.2154035891923298E-4</v>
      </c>
      <c r="E55" s="2">
        <v>1.2665151753185817E-3</v>
      </c>
    </row>
    <row r="56" spans="1:5">
      <c r="A56">
        <v>54</v>
      </c>
      <c r="B56" s="2">
        <v>1.6500216739202412E-3</v>
      </c>
      <c r="C56" s="2">
        <v>1.0097017558945827</v>
      </c>
      <c r="D56" s="2">
        <v>-2.2236116526370061E-4</v>
      </c>
      <c r="E56" s="2">
        <v>1.269516196745902E-3</v>
      </c>
    </row>
    <row r="57" spans="1:5">
      <c r="A57">
        <v>55</v>
      </c>
      <c r="B57" s="2">
        <v>1.4274122761534884E-3</v>
      </c>
      <c r="C57" s="2">
        <v>1.0109725131426543</v>
      </c>
      <c r="D57" s="2">
        <v>-2.2270485261784406E-4</v>
      </c>
      <c r="E57" s="2">
        <v>1.2717523416483358E-3</v>
      </c>
    </row>
    <row r="58" spans="1:5">
      <c r="A58">
        <v>56</v>
      </c>
      <c r="B58" s="2">
        <v>1.2046853465097558E-3</v>
      </c>
      <c r="C58" s="2">
        <v>1.0122451419459748</v>
      </c>
      <c r="D58" s="2">
        <v>-2.2260804225671642E-4</v>
      </c>
      <c r="E58" s="2">
        <v>1.2732763948777182E-3</v>
      </c>
    </row>
    <row r="59" spans="1:5">
      <c r="A59">
        <v>57</v>
      </c>
      <c r="B59" s="2">
        <v>9.8226385289447958E-4</v>
      </c>
      <c r="C59" s="2">
        <v>1.0135189555959758</v>
      </c>
      <c r="D59" s="2">
        <v>-2.2210504695255624E-4</v>
      </c>
      <c r="E59" s="2">
        <v>1.2741381407212374E-3</v>
      </c>
    </row>
    <row r="60" spans="1:5">
      <c r="A60">
        <v>58</v>
      </c>
      <c r="B60" s="2">
        <v>7.6053755969286057E-4</v>
      </c>
      <c r="C60" s="2">
        <v>1.0147933157052065</v>
      </c>
      <c r="D60" s="2">
        <v>-2.2122800442212767E-4</v>
      </c>
      <c r="E60" s="2">
        <v>1.2743844768145481E-3</v>
      </c>
    </row>
    <row r="61" spans="1:5">
      <c r="A61">
        <v>59</v>
      </c>
      <c r="B61" s="2">
        <v>5.398651381773006E-4</v>
      </c>
      <c r="C61" s="2">
        <v>1.0160676293808346</v>
      </c>
      <c r="D61" s="2">
        <v>-2.2000700452055384E-4</v>
      </c>
      <c r="E61" s="2">
        <v>1.2740595365400651E-3</v>
      </c>
    </row>
    <row r="62" spans="1:5">
      <c r="A62">
        <v>60</v>
      </c>
      <c r="B62" s="2">
        <v>3.2057615287313992E-4</v>
      </c>
      <c r="C62" s="2">
        <v>1.0173413465233829</v>
      </c>
      <c r="D62" s="2">
        <v>-2.18470210148953E-4</v>
      </c>
      <c r="E62" s="2">
        <v>1.2732048159870499E-3</v>
      </c>
    </row>
    <row r="63" spans="1:5">
      <c r="A63">
        <v>61</v>
      </c>
      <c r="B63" s="2">
        <v>1.0297293013875453E-4</v>
      </c>
      <c r="C63" s="2">
        <v>1.0186139572536648</v>
      </c>
      <c r="D63" s="2">
        <v>-2.1664397193631548E-4</v>
      </c>
      <c r="E63" s="2">
        <v>1.2718593025420313E-3</v>
      </c>
    </row>
    <row r="64" spans="1:5">
      <c r="A64">
        <v>62</v>
      </c>
      <c r="B64" s="2">
        <v>-1.126676848532233E-4</v>
      </c>
      <c r="C64" s="2">
        <v>1.0198849894683457</v>
      </c>
      <c r="D64" s="2">
        <v>-2.1455293682335792E-4</v>
      </c>
      <c r="E64" s="2">
        <v>1.2700596029430881E-3</v>
      </c>
    </row>
    <row r="65" spans="1:5">
      <c r="A65">
        <v>63</v>
      </c>
      <c r="B65" s="2">
        <v>-3.2609267673168636E-4</v>
      </c>
      <c r="C65" s="2">
        <v>1.0211540065227209</v>
      </c>
      <c r="D65" s="2">
        <v>-2.122201507236468E-4</v>
      </c>
      <c r="E65" s="2">
        <v>1.2678400692202583E-3</v>
      </c>
    </row>
    <row r="66" spans="1:5">
      <c r="A66">
        <v>64</v>
      </c>
      <c r="B66" s="2">
        <v>-5.3707130830608007E-4</v>
      </c>
      <c r="C66" s="2">
        <v>1.0224206050379798</v>
      </c>
      <c r="D66" s="2">
        <v>-2.0966715546969368E-4</v>
      </c>
      <c r="E66" s="2">
        <v>1.265232921396171E-3</v>
      </c>
    </row>
    <row r="67" spans="1:5">
      <c r="A67">
        <v>65</v>
      </c>
      <c r="B67" s="2">
        <v>-7.4539366310932993E-4</v>
      </c>
      <c r="C67" s="2">
        <v>1.0236844128292533</v>
      </c>
      <c r="D67" s="2">
        <v>-2.0691408027267291E-4</v>
      </c>
      <c r="E67" s="2">
        <v>1.2622683661666998E-3</v>
      </c>
    </row>
    <row r="68" spans="1:5">
      <c r="A68">
        <v>66</v>
      </c>
      <c r="B68" s="2">
        <v>-9.5086927673718939E-4</v>
      </c>
      <c r="C68" s="2">
        <v>1.0249450869501502</v>
      </c>
      <c r="D68" s="2">
        <v>-2.0397972793666312E-4</v>
      </c>
      <c r="E68" s="2">
        <v>1.2589747110447627E-3</v>
      </c>
    </row>
    <row r="69" spans="1:5">
      <c r="A69">
        <v>67</v>
      </c>
      <c r="B69" s="2">
        <v>-1.153325851863074E-3</v>
      </c>
      <c r="C69" s="2">
        <v>1.0262023118490453</v>
      </c>
      <c r="D69" s="2">
        <v>-2.0088165607404926E-4</v>
      </c>
      <c r="E69" s="2">
        <v>1.2553784736500208E-3</v>
      </c>
    </row>
    <row r="70" spans="1:5">
      <c r="A70">
        <v>68</v>
      </c>
      <c r="B70" s="2">
        <v>-1.352608052047972E-3</v>
      </c>
      <c r="C70" s="2">
        <v>1.0274557976321652</v>
      </c>
      <c r="D70" s="2">
        <v>-1.9763625356961076E-4</v>
      </c>
      <c r="E70" s="2">
        <v>1.2515044859774862E-3</v>
      </c>
    </row>
    <row r="71" spans="1:5">
      <c r="A71">
        <v>69</v>
      </c>
      <c r="B71" s="2">
        <v>-1.5485763697230918E-3</v>
      </c>
      <c r="C71" s="2">
        <v>1.0287052784284068</v>
      </c>
      <c r="D71" s="2">
        <v>-1.9425881253815251E-4</v>
      </c>
      <c r="E71" s="2">
        <v>1.2473759935902485E-3</v>
      </c>
    </row>
    <row r="72" spans="1:5">
      <c r="A72">
        <v>70</v>
      </c>
      <c r="B72" s="2">
        <v>-1.7411060639570223E-3</v>
      </c>
      <c r="C72" s="2">
        <v>1.0299505108508118</v>
      </c>
      <c r="D72" s="2">
        <v>-1.9076359601530315E-4</v>
      </c>
      <c r="E72" s="2">
        <v>1.2430147497643404E-3</v>
      </c>
    </row>
    <row r="73" spans="1:5">
      <c r="A73">
        <v>71</v>
      </c>
      <c r="B73" s="2">
        <v>-1.930086163858538E-3</v>
      </c>
      <c r="C73" s="2">
        <v>1.0311912725496928</v>
      </c>
      <c r="D73" s="2">
        <v>-1.8716390161405908E-4</v>
      </c>
      <c r="E73" s="2">
        <v>1.2384411046739523E-3</v>
      </c>
    </row>
    <row r="74" spans="1:5">
      <c r="A74">
        <v>72</v>
      </c>
      <c r="B74" s="2">
        <v>-2.1154185336924283E-3</v>
      </c>
      <c r="C74" s="2">
        <v>1.0324273608524943</v>
      </c>
      <c r="D74" s="2">
        <v>-1.8347212137138067E-4</v>
      </c>
      <c r="E74" s="2">
        <v>1.233674089748093E-3</v>
      </c>
    </row>
    <row r="75" spans="1:5">
      <c r="A75">
        <v>73</v>
      </c>
      <c r="B75" s="2">
        <v>-2.2970169960135349E-3</v>
      </c>
      <c r="C75" s="2">
        <v>1.0336585914856642</v>
      </c>
      <c r="D75" s="2">
        <v>-1.7969979800009684E-4</v>
      </c>
      <c r="E75" s="2">
        <v>1.2287314973593883E-3</v>
      </c>
    </row>
    <row r="76" spans="1:5">
      <c r="A76">
        <v>74</v>
      </c>
      <c r="B76" s="2">
        <v>-2.4748065093192721E-3</v>
      </c>
      <c r="C76" s="2">
        <v>1.0348847973739277</v>
      </c>
      <c r="D76" s="2">
        <v>-1.7585767775184913E-4</v>
      </c>
      <c r="E76" s="2">
        <v>1.2236299560252058E-3</v>
      </c>
    </row>
    <row r="77" spans="1:5">
      <c r="A77">
        <v>75</v>
      </c>
      <c r="B77" s="2">
        <v>-2.6487223969434009E-3</v>
      </c>
      <c r="C77" s="2">
        <v>1.0361058275125781</v>
      </c>
      <c r="D77" s="2">
        <v>-1.7195576008709624E-4</v>
      </c>
      <c r="E77" s="2">
        <v>1.2183850013131568E-3</v>
      </c>
    </row>
    <row r="78" spans="1:5">
      <c r="A78">
        <v>76</v>
      </c>
      <c r="B78" s="2">
        <v>-2.8187096240783059E-3</v>
      </c>
      <c r="C78" s="2">
        <v>1.0373215459086063</v>
      </c>
      <c r="D78" s="2">
        <v>-1.6800334433845893E-4</v>
      </c>
      <c r="E78" s="2">
        <v>1.2130111426491201E-3</v>
      </c>
    </row>
    <row r="79" spans="1:5">
      <c r="A79">
        <v>77</v>
      </c>
      <c r="B79" s="2">
        <v>-2.9847221200254349E-3</v>
      </c>
      <c r="C79" s="2">
        <v>1.038531830586642</v>
      </c>
      <c r="D79" s="2">
        <v>-1.6400907354406177E-4</v>
      </c>
      <c r="E79" s="2">
        <v>1.2075219262277341E-3</v>
      </c>
    </row>
    <row r="80" spans="1:5">
      <c r="A80">
        <v>78</v>
      </c>
      <c r="B80" s="2">
        <v>-3.1467221429134747E-3</v>
      </c>
      <c r="C80" s="2">
        <v>1.0397365726559284</v>
      </c>
      <c r="D80" s="2">
        <v>-1.5998097561811971E-4</v>
      </c>
      <c r="E80" s="2">
        <v>1.2019299942239467E-3</v>
      </c>
    </row>
    <row r="81" spans="1:5">
      <c r="A81">
        <v>79</v>
      </c>
      <c r="B81" s="2">
        <v>-3.3046796843132762E-3</v>
      </c>
      <c r="C81" s="2">
        <v>1.040935675434727</v>
      </c>
      <c r="D81" s="2">
        <v>-1.5592650201689387E-4</v>
      </c>
      <c r="E81" s="2">
        <v>1.1962471405005484E-3</v>
      </c>
    </row>
    <row r="82" spans="1:5">
      <c r="A82">
        <v>80</v>
      </c>
      <c r="B82" s="2">
        <v>-3.4585719113157318E-3</v>
      </c>
      <c r="C82" s="2">
        <v>1.0421290536287369</v>
      </c>
      <c r="D82" s="2">
        <v>-1.5185256404933814E-4</v>
      </c>
      <c r="E82" s="2">
        <v>1.1904843630013331E-3</v>
      </c>
    </row>
    <row r="83" spans="1:5">
      <c r="A83">
        <v>81</v>
      </c>
      <c r="B83" s="2">
        <v>-3.6083826437899127E-3</v>
      </c>
      <c r="C83" s="2">
        <v>1.0433166325603129</v>
      </c>
      <c r="D83" s="2">
        <v>-1.4776556697332778E-4</v>
      </c>
      <c r="E83" s="2">
        <v>1.1846519130131099E-3</v>
      </c>
    </row>
    <row r="84" spans="1:5">
      <c r="A84">
        <v>82</v>
      </c>
      <c r="B84" s="2">
        <v>-3.754101864676672E-3</v>
      </c>
      <c r="C84" s="2">
        <v>1.0444983474454448</v>
      </c>
      <c r="D84" s="2">
        <v>-1.4367144201028726E-4</v>
      </c>
      <c r="E84" s="2">
        <v>1.1787593414726439E-3</v>
      </c>
    </row>
    <row r="85" spans="1:5">
      <c r="A85">
        <v>83</v>
      </c>
      <c r="B85" s="2">
        <v>-3.8957252612954163E-3</v>
      </c>
      <c r="C85" s="2">
        <v>1.0456741427156098</v>
      </c>
      <c r="D85" s="2">
        <v>-1.3957567640336942E-4</v>
      </c>
      <c r="E85" s="2">
        <v>1.172815542487018E-3</v>
      </c>
    </row>
    <row r="86" spans="1:5">
      <c r="A86">
        <v>84</v>
      </c>
      <c r="B86" s="2">
        <v>-4.0332537957742309E-3</v>
      </c>
      <c r="C86" s="2">
        <v>1.0468439713818252</v>
      </c>
      <c r="D86" s="2">
        <v>-1.3548334163702335E-4</v>
      </c>
      <c r="E86" s="2">
        <v>1.1668287942280891E-3</v>
      </c>
    </row>
    <row r="87" spans="1:5">
      <c r="A87">
        <v>85</v>
      </c>
      <c r="B87" s="2">
        <v>-4.1666933028156727E-3</v>
      </c>
      <c r="C87" s="2">
        <v>1.0480077944383159</v>
      </c>
      <c r="D87" s="2">
        <v>-1.3139911992888332E-4</v>
      </c>
      <c r="E87" s="2">
        <v>1.1608067973538424E-3</v>
      </c>
    </row>
    <row r="88" spans="1:5">
      <c r="A88">
        <v>86</v>
      </c>
      <c r="B88" s="2">
        <v>-4.2960541131258721E-3</v>
      </c>
      <c r="C88" s="2">
        <v>1.0491655803034234</v>
      </c>
      <c r="D88" s="2">
        <v>-1.2732732909835596E-4</v>
      </c>
      <c r="E88" s="2">
        <v>1.1547567111016472E-3</v>
      </c>
    </row>
    <row r="89" spans="1:5">
      <c r="A89">
        <v>87</v>
      </c>
      <c r="B89" s="2">
        <v>-4.4213507009355042E-3</v>
      </c>
      <c r="C89" s="2">
        <v>1.0503173042954987</v>
      </c>
      <c r="D89" s="2">
        <v>-1.2327194591008772E-4</v>
      </c>
      <c r="E89" s="2">
        <v>1.1486851871907579E-3</v>
      </c>
    </row>
    <row r="90" spans="1:5">
      <c r="A90">
        <v>88</v>
      </c>
      <c r="B90" s="2">
        <v>-4.5426013541301517E-3</v>
      </c>
      <c r="C90" s="2">
        <v>1.0514629481416273</v>
      </c>
      <c r="D90" s="2">
        <v>-1.1923662798465478E-4</v>
      </c>
      <c r="E90" s="2">
        <v>1.1425984016639565E-3</v>
      </c>
    </row>
    <row r="91" spans="1:5">
      <c r="A91">
        <v>89</v>
      </c>
      <c r="B91" s="2">
        <v>-4.6598278656075484E-3</v>
      </c>
      <c r="C91" s="2">
        <v>1.0526024995172256</v>
      </c>
      <c r="D91" s="2">
        <v>-1.1522473436329444E-4</v>
      </c>
      <c r="E91" s="2">
        <v>1.1365020847910572E-3</v>
      </c>
    </row>
    <row r="92" spans="1:5">
      <c r="A92">
        <v>90</v>
      </c>
      <c r="B92" s="2">
        <v>-4.773055244551321E-3</v>
      </c>
      <c r="C92" s="2">
        <v>1.0537359516145999</v>
      </c>
      <c r="D92" s="2">
        <v>-1.1123934480830285E-4</v>
      </c>
      <c r="E92" s="2">
        <v>1.1304015491500794E-3</v>
      </c>
    </row>
    <row r="93" spans="1:5">
      <c r="A93">
        <v>91</v>
      </c>
      <c r="B93" s="2">
        <v>-4.8823114464016529E-3</v>
      </c>
      <c r="C93" s="2">
        <v>1.0548633027387122</v>
      </c>
      <c r="D93" s="2">
        <v>-1.0728327791581937E-4</v>
      </c>
      <c r="E93" s="2">
        <v>1.1243017159952981E-3</v>
      </c>
    </row>
    <row r="94" spans="1:5">
      <c r="A94">
        <v>92</v>
      </c>
      <c r="B94" s="2">
        <v>-4.9876271203661907E-3</v>
      </c>
      <c r="C94" s="2">
        <v>1.0559845559285026</v>
      </c>
      <c r="D94" s="2">
        <v>-1.0335910811310589E-4</v>
      </c>
      <c r="E94" s="2">
        <v>1.1182071400150852E-3</v>
      </c>
    </row>
    <row r="95" spans="1:5">
      <c r="A95">
        <v>93</v>
      </c>
      <c r="B95" s="2">
        <v>-5.0890353733964201E-3</v>
      </c>
      <c r="C95" s="2">
        <v>1.0570997186021869</v>
      </c>
      <c r="D95" s="2">
        <v>-9.9469181608089819E-5</v>
      </c>
      <c r="E95" s="2">
        <v>1.1121220325764603E-3</v>
      </c>
    </row>
    <row r="96" spans="1:5">
      <c r="A96">
        <v>94</v>
      </c>
      <c r="B96" s="2">
        <v>-5.1865715496092991E-3</v>
      </c>
      <c r="C96" s="2">
        <v>1.0582088022250711</v>
      </c>
      <c r="D96" s="2">
        <v>-9.5615631354846738E-5</v>
      </c>
      <c r="E96" s="2">
        <v>1.106050283547607E-3</v>
      </c>
    </row>
    <row r="97" spans="1:5">
      <c r="A97">
        <v>95</v>
      </c>
      <c r="B97" s="2">
        <v>-5.2802730242041736E-3</v>
      </c>
      <c r="C97" s="2">
        <v>1.0593118219985191</v>
      </c>
      <c r="D97" s="2">
        <v>-9.1800391094860146E-5</v>
      </c>
      <c r="E97" s="2">
        <v>1.0999954817842107E-3</v>
      </c>
    </row>
    <row r="98" spans="1:5">
      <c r="A98">
        <v>96</v>
      </c>
      <c r="B98" s="2">
        <v>-5.3701790109749736E-3</v>
      </c>
      <c r="C98" s="2">
        <v>1.0604087965687556</v>
      </c>
      <c r="D98" s="2">
        <v>-8.8025208530278194E-5</v>
      </c>
      <c r="E98" s="2">
        <v>1.093960934360408E-3</v>
      </c>
    </row>
    <row r="99" spans="1:5">
      <c r="A99">
        <v>97</v>
      </c>
      <c r="B99" s="2">
        <v>-5.4563303825839781E-3</v>
      </c>
      <c r="C99" s="2">
        <v>1.0614997477542982</v>
      </c>
      <c r="D99" s="2">
        <v>-8.4291657681988876E-5</v>
      </c>
      <c r="E99" s="2">
        <v>1.087949684620315E-3</v>
      </c>
    </row>
    <row r="100" spans="1:5">
      <c r="A100">
        <v>98</v>
      </c>
      <c r="B100" s="2">
        <v>-5.5387695027988952E-3</v>
      </c>
      <c r="C100" s="2">
        <v>1.0625847002908815</v>
      </c>
      <c r="D100" s="2">
        <v>-8.0601150482137855E-5</v>
      </c>
      <c r="E100" s="2">
        <v>1.0819645291215848E-3</v>
      </c>
    </row>
    <row r="101" spans="1:5">
      <c r="A101">
        <v>99</v>
      </c>
      <c r="B101" s="2">
        <v>-5.6175400699582673E-3</v>
      </c>
      <c r="C101" s="2">
        <v>1.0636636815927893</v>
      </c>
      <c r="D101" s="2">
        <v>-7.6954947647712223E-5</v>
      </c>
      <c r="E101" s="2">
        <v>1.0760080335381467E-3</v>
      </c>
    </row>
    <row r="102" spans="1:5">
      <c r="A102">
        <v>100</v>
      </c>
      <c r="B102" s="2">
        <v>-5.6926869709616164E-3</v>
      </c>
      <c r="C102" s="2">
        <v>1.0647367215295931</v>
      </c>
      <c r="D102" s="2">
        <v>-7.3354168878985709E-5</v>
      </c>
      <c r="E102" s="2">
        <v>1.0700825475852766E-3</v>
      </c>
    </row>
    <row r="103" spans="1:5">
      <c r="A103">
        <v>101</v>
      </c>
      <c r="B103" s="2">
        <v>-5.7642561451420214E-3</v>
      </c>
      <c r="C103" s="2">
        <v>1.0658038522173379</v>
      </c>
      <c r="D103" s="2">
        <v>-6.9799802423972646E-5</v>
      </c>
      <c r="E103" s="2">
        <v>1.0641902190263327E-3</v>
      </c>
    </row>
    <row r="104" spans="1:5">
      <c r="A104">
        <v>102</v>
      </c>
      <c r="B104" s="2">
        <v>-5.8322944573896843E-3</v>
      </c>
      <c r="C104" s="2">
        <v>1.0668651078233098</v>
      </c>
      <c r="D104" s="2">
        <v>-6.6292714047539787E-5</v>
      </c>
      <c r="E104" s="2">
        <v>1.0583330068169258E-3</v>
      </c>
    </row>
    <row r="105" spans="1:5">
      <c r="A105">
        <v>103</v>
      </c>
      <c r="B105" s="2">
        <v>-5.8968495799675245E-3</v>
      </c>
      <c r="C105" s="2">
        <v>1.0679205243835224</v>
      </c>
      <c r="D105" s="2">
        <v>-6.2833655441483802E-5</v>
      </c>
      <c r="E105" s="2">
        <v>1.0525126934389374E-3</v>
      </c>
    </row>
    <row r="106" spans="1:5">
      <c r="A106">
        <v>104</v>
      </c>
      <c r="B106" s="2">
        <v>-5.9579698824639964E-3</v>
      </c>
      <c r="C106" s="2">
        <v>1.0689701396321543</v>
      </c>
      <c r="D106" s="2">
        <v>-5.942327210968206E-5</v>
      </c>
      <c r="E106" s="2">
        <v>1.0467308964736254E-3</v>
      </c>
    </row>
    <row r="107" spans="1:5">
      <c r="A107">
        <v>105</v>
      </c>
      <c r="B107" s="2">
        <v>-6.0157043293809012E-3</v>
      </c>
      <c r="C107" s="2">
        <v>1.0700139928421912</v>
      </c>
      <c r="D107" s="2">
        <v>-5.6062110760353939E-5</v>
      </c>
      <c r="E107" s="2">
        <v>1.0409890794600926E-3</v>
      </c>
    </row>
    <row r="108" spans="1:5">
      <c r="A108">
        <v>106</v>
      </c>
      <c r="B108" s="2">
        <v>-6.070102384877576E-3</v>
      </c>
      <c r="C108" s="2">
        <v>1.0710521246765836</v>
      </c>
      <c r="D108" s="2">
        <v>-5.2750626235524105E-5</v>
      </c>
      <c r="E108" s="2">
        <v>1.0352885620825876E-3</v>
      </c>
    </row>
    <row r="109" spans="1:5">
      <c r="A109">
        <v>107</v>
      </c>
      <c r="B109" s="2">
        <v>-6.121213924221984E-3</v>
      </c>
      <c r="C109" s="2">
        <v>1.07208457704928</v>
      </c>
      <c r="D109" s="2">
        <v>-4.9489188005960673E-5</v>
      </c>
      <c r="E109" s="2">
        <v>1.0296305297274892E-3</v>
      </c>
    </row>
    <row r="110" spans="1:5">
      <c r="A110">
        <v>108</v>
      </c>
      <c r="B110" s="2">
        <v>-6.1690891515286759E-3</v>
      </c>
      <c r="C110" s="2">
        <v>1.0731113929954981</v>
      </c>
      <c r="D110" s="2">
        <v>-4.6278086258135163E-5</v>
      </c>
      <c r="E110" s="2">
        <v>1.0240160424483395E-3</v>
      </c>
    </row>
    <row r="111" spans="1:5">
      <c r="A111">
        <v>109</v>
      </c>
      <c r="B111" s="2">
        <v>-6.2137785233894053E-3</v>
      </c>
      <c r="C111" s="2">
        <v>1.0741326165506935</v>
      </c>
      <c r="D111" s="2">
        <v>-4.3117537598150066E-5</v>
      </c>
      <c r="E111" s="2">
        <v>1.0184460433749804E-3</v>
      </c>
    </row>
    <row r="112" spans="1:5">
      <c r="A112">
        <v>110</v>
      </c>
      <c r="B112" s="2">
        <v>-6.2553326780215432E-3</v>
      </c>
      <c r="C112" s="2">
        <v>1.0751482926376572</v>
      </c>
      <c r="D112" s="2">
        <v>-4.0007690396055922E-5</v>
      </c>
      <c r="E112" s="2">
        <v>1.0129213666006565E-3</v>
      </c>
    </row>
    <row r="113" spans="1:5">
      <c r="A113">
        <v>111</v>
      </c>
      <c r="B113" s="2">
        <v>-6.2938023695899578E-3</v>
      </c>
      <c r="C113" s="2">
        <v>1.0761584669612636</v>
      </c>
      <c r="D113" s="2">
        <v>-3.694862979256631E-5</v>
      </c>
      <c r="E113" s="2">
        <v>1.0074427445788991E-3</v>
      </c>
    </row>
    <row r="114" spans="1:5">
      <c r="A114">
        <v>112</v>
      </c>
      <c r="B114" s="2">
        <v>-6.3292384073749576E-3</v>
      </c>
      <c r="C114" s="2">
        <v>1.0771631859103672</v>
      </c>
      <c r="D114" s="2">
        <v>-3.3940382388835091E-5</v>
      </c>
      <c r="E114" s="2">
        <v>1.0020108150600752E-3</v>
      </c>
    </row>
    <row r="115" spans="1:5">
      <c r="A115">
        <v>113</v>
      </c>
      <c r="B115" s="2">
        <v>-6.361691599476792E-3</v>
      </c>
      <c r="C115" s="2">
        <v>1.0781624964664265</v>
      </c>
      <c r="D115" s="2">
        <v>-3.0982920638710946E-5</v>
      </c>
      <c r="E115" s="2">
        <v>9.9662612759567537E-4</v>
      </c>
    </row>
    <row r="116" spans="1:5">
      <c r="A116">
        <v>114</v>
      </c>
      <c r="B116" s="2">
        <v>-6.3912127007673784E-3</v>
      </c>
      <c r="C116" s="2">
        <v>1.0791564461184144</v>
      </c>
      <c r="D116" s="2">
        <v>-2.8076166961701341E-5</v>
      </c>
      <c r="E116" s="2">
        <v>9.9128914963671319E-4</v>
      </c>
    </row>
    <row r="117" spans="1:5">
      <c r="A117">
        <v>115</v>
      </c>
      <c r="B117" s="2">
        <v>-6.4178523648275379E-3</v>
      </c>
      <c r="C117" s="2">
        <v>1.0801450827836441</v>
      </c>
      <c r="D117" s="2">
        <v>-2.5219997593771439E-5</v>
      </c>
      <c r="E117" s="2">
        <v>9.8600027225100267E-4</v>
      </c>
    </row>
    <row r="118" spans="1:5">
      <c r="A118">
        <v>116</v>
      </c>
      <c r="B118" s="2">
        <v>-6.4416610996023277E-3</v>
      </c>
      <c r="C118" s="2">
        <v>1.0811284547341189</v>
      </c>
      <c r="D118" s="2">
        <v>-2.2414246192063212E-5</v>
      </c>
      <c r="E118" s="2">
        <v>9.8075981548258846E-4</v>
      </c>
    </row>
    <row r="119" spans="1:5">
      <c r="A119">
        <v>117</v>
      </c>
      <c r="B119" s="2">
        <v>-6.4626892265486251E-3</v>
      </c>
      <c r="C119" s="2">
        <v>1.0821066105280739</v>
      </c>
      <c r="D119" s="2">
        <v>-1.9658707208641512E-5</v>
      </c>
      <c r="E119" s="2">
        <v>9.7556803337517861E-4</v>
      </c>
    </row>
    <row r="120" spans="1:5">
      <c r="A120">
        <v>118</v>
      </c>
      <c r="B120" s="2">
        <v>-6.4809868430415196E-3</v>
      </c>
      <c r="C120" s="2">
        <v>1.0830795989463844</v>
      </c>
      <c r="D120" s="2">
        <v>-1.69531390474571E-5</v>
      </c>
      <c r="E120" s="2">
        <v>9.7042511868011621E-4</v>
      </c>
    </row>
    <row r="121" spans="1:5">
      <c r="A121">
        <v>119</v>
      </c>
      <c r="B121" s="2">
        <v>-6.4966037878374074E-3</v>
      </c>
      <c r="C121" s="2">
        <v>1.0840474689335258</v>
      </c>
      <c r="D121" s="2">
        <v>-1.4297267017850832E-5</v>
      </c>
      <c r="E121" s="2">
        <v>9.6533120726816773E-4</v>
      </c>
    </row>
    <row r="122" spans="1:5">
      <c r="A122">
        <v>120</v>
      </c>
      <c r="B122" s="2">
        <v>-6.5095896093909514E-3</v>
      </c>
      <c r="C122" s="2">
        <v>1.0850102695428021</v>
      </c>
      <c r="D122" s="2">
        <v>-1.1690786097117789E-5</v>
      </c>
      <c r="E122" s="2">
        <v>9.6028638226324707E-4</v>
      </c>
    </row>
    <row r="123" spans="1:5">
      <c r="A123">
        <v>121</v>
      </c>
      <c r="B123" s="2">
        <v>-6.5199935368432781E-3</v>
      </c>
      <c r="C123" s="2">
        <v>1.0859680498855813</v>
      </c>
      <c r="D123" s="2">
        <v>-9.1333635138832493E-6</v>
      </c>
      <c r="E123" s="2">
        <v>9.5529067791508206E-4</v>
      </c>
    </row>
    <row r="124" spans="1:5">
      <c r="A124">
        <v>122</v>
      </c>
      <c r="B124" s="2">
        <v>-6.5278644535086685E-3</v>
      </c>
      <c r="C124" s="2">
        <v>1.0869208590842718</v>
      </c>
      <c r="D124" s="2">
        <v>-6.6246411633328556E-6</v>
      </c>
      <c r="E124" s="2">
        <v>9.5034408322681053E-4</v>
      </c>
    </row>
    <row r="125" spans="1:5">
      <c r="A125">
        <v>123</v>
      </c>
      <c r="B125" s="2">
        <v>-6.5332508726945468E-3</v>
      </c>
      <c r="C125" s="2">
        <v>1.0878687462288135</v>
      </c>
      <c r="D125" s="2">
        <v>-4.1642378646622824E-6</v>
      </c>
      <c r="E125" s="2">
        <v>9.4544654535250931E-4</v>
      </c>
    </row>
    <row r="126" spans="1:5">
      <c r="A126">
        <v>124</v>
      </c>
      <c r="B126" s="2">
        <v>-6.5362009157051417E-3</v>
      </c>
      <c r="C126" s="2">
        <v>1.0888117603364544</v>
      </c>
      <c r="D126" s="2">
        <v>-1.7517514704857764E-6</v>
      </c>
      <c r="E126" s="2">
        <v>9.4059797277875723E-4</v>
      </c>
    </row>
    <row r="127" spans="1:5">
      <c r="A127">
        <v>125</v>
      </c>
      <c r="B127" s="2">
        <v>-6.5367622918814849E-3</v>
      </c>
      <c r="C127" s="2">
        <v>1.0897499503146024</v>
      </c>
      <c r="D127" s="2">
        <v>6.132391626532085E-7</v>
      </c>
      <c r="E127" s="2">
        <v>9.357982383034726E-4</v>
      </c>
    </row>
    <row r="128" spans="1:5">
      <c r="A128">
        <v>126</v>
      </c>
      <c r="B128" s="2">
        <v>-6.5349822805472564E-3</v>
      </c>
      <c r="C128" s="2">
        <v>1.0906833649265641</v>
      </c>
      <c r="D128" s="2">
        <v>2.9311723340813361E-6</v>
      </c>
      <c r="E128" s="2">
        <v>9.3104718182446288E-4</v>
      </c>
    </row>
    <row r="129" spans="1:5">
      <c r="A129">
        <v>127</v>
      </c>
      <c r="B129" s="2">
        <v>-6.5309077147312523E-3</v>
      </c>
      <c r="C129" s="2">
        <v>1.091612052759982</v>
      </c>
      <c r="D129" s="2">
        <v>5.2025017810405315E-6</v>
      </c>
      <c r="E129" s="2">
        <v>9.2634461294936298E-4</v>
      </c>
    </row>
    <row r="130" spans="1:5">
      <c r="A130">
        <v>128</v>
      </c>
      <c r="B130" s="2">
        <v>-6.524584966549638E-3</v>
      </c>
      <c r="C130" s="2">
        <v>1.0925360621977822</v>
      </c>
      <c r="D130" s="2">
        <v>7.427695075404842E-6</v>
      </c>
      <c r="E130" s="2">
        <v>9.2169031343793952E-4</v>
      </c>
    </row>
    <row r="131" spans="1:5">
      <c r="A131">
        <v>129</v>
      </c>
      <c r="B131" s="2">
        <v>-6.5160599341366121E-3</v>
      </c>
      <c r="C131" s="2">
        <v>1.0934554413915065</v>
      </c>
      <c r="D131" s="2">
        <v>9.6072321279571467E-6</v>
      </c>
      <c r="E131" s="2">
        <v>9.1708403948705878E-4</v>
      </c>
    </row>
    <row r="132" spans="1:5">
      <c r="A132">
        <v>130</v>
      </c>
      <c r="B132" s="2">
        <v>-6.5053780300188503E-3</v>
      </c>
      <c r="C132" s="2">
        <v>1.0943702382368348</v>
      </c>
      <c r="D132" s="2">
        <v>1.1741603793547126E-5</v>
      </c>
      <c r="E132" s="2">
        <v>9.1252552386800016E-4</v>
      </c>
    </row>
    <row r="133" spans="1:5">
      <c r="A133">
        <v>131</v>
      </c>
      <c r="B133" s="2">
        <v>-6.492584170837994E-3</v>
      </c>
      <c r="C133" s="2">
        <v>1.0952805003511812</v>
      </c>
      <c r="D133" s="2">
        <v>1.3831310570859837E-5</v>
      </c>
      <c r="E133" s="2">
        <v>9.0801447792519905E-4</v>
      </c>
    </row>
    <row r="134" spans="1:5">
      <c r="A134">
        <v>132</v>
      </c>
      <c r="B134" s="2">
        <v>-6.4777227683252845E-3</v>
      </c>
      <c r="C134" s="2">
        <v>1.096186275053225</v>
      </c>
      <c r="D134" s="2">
        <v>1.5876861390905441E-5</v>
      </c>
      <c r="E134" s="2">
        <v>9.0355059344496193E-4</v>
      </c>
    </row>
    <row r="135" spans="1:5">
      <c r="A135">
        <v>133</v>
      </c>
      <c r="B135" s="2">
        <v>-6.4608377214476218E-3</v>
      </c>
      <c r="C135" s="2">
        <v>1.0970876093442463</v>
      </c>
      <c r="D135" s="2">
        <v>1.7878772488698494E-5</v>
      </c>
      <c r="E135" s="2">
        <v>8.9913354440216125E-4</v>
      </c>
    </row>
    <row r="136" spans="1:5">
      <c r="A136">
        <v>134</v>
      </c>
      <c r="B136" s="2">
        <v>-6.4419724096413502E-3</v>
      </c>
      <c r="C136" s="2">
        <v>1.0979845498911456</v>
      </c>
      <c r="D136" s="2">
        <v>1.9837566352938471E-5</v>
      </c>
      <c r="E136" s="2">
        <v>8.9476298859244761E-4</v>
      </c>
    </row>
    <row r="137" spans="1:5">
      <c r="A137">
        <v>135</v>
      </c>
      <c r="B137" s="2">
        <v>-6.4211696870591977E-3</v>
      </c>
      <c r="C137" s="2">
        <v>1.0988771430110467</v>
      </c>
      <c r="D137" s="2">
        <v>2.1753770748812595E-5</v>
      </c>
      <c r="E137" s="2">
        <v>8.9043856915704204E-4</v>
      </c>
    </row>
    <row r="138" spans="1:5">
      <c r="A138">
        <v>136</v>
      </c>
      <c r="B138" s="2">
        <v>-6.3984718777582821E-3</v>
      </c>
      <c r="C138" s="2">
        <v>1.099765434657372</v>
      </c>
      <c r="D138" s="2">
        <v>2.3627917809344641E-5</v>
      </c>
      <c r="E138" s="2">
        <v>8.8615991600675599E-4</v>
      </c>
    </row>
    <row r="139" spans="1:5">
      <c r="A139">
        <v>137</v>
      </c>
      <c r="B139" s="2">
        <v>-6.3739207717662333E-3</v>
      </c>
      <c r="C139" s="2">
        <v>1.100649470407286</v>
      </c>
      <c r="D139" s="2">
        <v>2.5460543190991776E-5</v>
      </c>
      <c r="E139" s="2">
        <v>8.8192664715146642E-4</v>
      </c>
    </row>
    <row r="140" spans="1:5">
      <c r="A140">
        <v>138</v>
      </c>
      <c r="B140" s="2">
        <v>-6.347557621957294E-3</v>
      </c>
      <c r="C140" s="2">
        <v>1.1015292954504392</v>
      </c>
      <c r="D140" s="2">
        <v>2.7252185289454061E-5</v>
      </c>
      <c r="E140" s="2">
        <v>8.7773836994090883E-4</v>
      </c>
    </row>
    <row r="141" spans="1:5">
      <c r="A141">
        <v>139</v>
      </c>
      <c r="B141" s="2">
        <v>-6.319423141688864E-3</v>
      </c>
      <c r="C141" s="2">
        <v>1.1024049545788905</v>
      </c>
      <c r="D141" s="2">
        <v>2.9003384511906988E-5</v>
      </c>
      <c r="E141" s="2">
        <v>8.7359468222228409E-4</v>
      </c>
    </row>
    <row r="142" spans="1:5">
      <c r="A142">
        <v>140</v>
      </c>
      <c r="B142" s="2">
        <v>-6.2895575031340087E-3</v>
      </c>
      <c r="C142" s="2">
        <v>1.1032764921781595</v>
      </c>
      <c r="D142" s="2">
        <v>3.0714682602102051E-5</v>
      </c>
      <c r="E142" s="2">
        <v>8.6949517341984193E-4</v>
      </c>
    </row>
    <row r="143" spans="1:5">
      <c r="A143">
        <v>141</v>
      </c>
      <c r="B143" s="2">
        <v>-6.2580003362665707E-3</v>
      </c>
      <c r="C143" s="2">
        <v>1.1041439522193239</v>
      </c>
      <c r="D143" s="2">
        <v>3.2386622014993113E-5</v>
      </c>
      <c r="E143" s="2">
        <v>8.6543942554129488E-4</v>
      </c>
    </row>
    <row r="144" spans="1:5">
      <c r="A144">
        <v>142</v>
      </c>
      <c r="B144" s="2">
        <v>-6.2247907284458696E-3</v>
      </c>
      <c r="C144" s="2">
        <v>1.1050073782520768</v>
      </c>
      <c r="D144" s="2">
        <v>3.4019745337757456E-5</v>
      </c>
      <c r="E144" s="2">
        <v>8.6142701411560929E-4</v>
      </c>
    </row>
    <row r="145" spans="1:5">
      <c r="A145">
        <v>143</v>
      </c>
      <c r="B145" s="2">
        <v>-6.1899672245603688E-3</v>
      </c>
      <c r="C145" s="2">
        <v>1.1058668133986973</v>
      </c>
      <c r="D145" s="2">
        <v>3.5614594754264591E-5</v>
      </c>
      <c r="E145" s="2">
        <v>8.5745750906645593E-4</v>
      </c>
    </row>
    <row r="146" spans="1:5">
      <c r="A146">
        <v>144</v>
      </c>
      <c r="B146" s="2">
        <v>-6.1535678276851032E-3</v>
      </c>
      <c r="C146" s="2">
        <v>1.1067223003488618</v>
      </c>
      <c r="D146" s="2">
        <v>3.7171711550233482E-5</v>
      </c>
      <c r="E146" s="2">
        <v>8.535304755253304E-4</v>
      </c>
    </row>
    <row r="147" spans="1:5">
      <c r="A147">
        <v>145</v>
      </c>
      <c r="B147" s="2">
        <v>-6.1156300002123323E-3</v>
      </c>
      <c r="C147" s="2">
        <v>1.1075738813552374</v>
      </c>
      <c r="D147" s="2">
        <v>3.8691635656484541E-5</v>
      </c>
      <c r="E147" s="2">
        <v>8.4964547458811577E-4</v>
      </c>
    </row>
    <row r="148" spans="1:5">
      <c r="A148">
        <v>146</v>
      </c>
      <c r="B148" s="2">
        <v>-6.0761906654250939E-3</v>
      </c>
      <c r="C148" s="2">
        <v>1.1084215982298098</v>
      </c>
      <c r="D148" s="2">
        <v>4.0174905227849424E-5</v>
      </c>
      <c r="E148" s="2">
        <v>8.4580206401862503E-4</v>
      </c>
    </row>
    <row r="149" spans="1:5">
      <c r="A149">
        <v>147</v>
      </c>
      <c r="B149" s="2">
        <v>-6.0352862094718183E-3</v>
      </c>
      <c r="C149" s="2">
        <v>1.1092654923408838</v>
      </c>
      <c r="D149" s="2">
        <v>4.1622056255458668E-5</v>
      </c>
      <c r="E149" s="2">
        <v>8.4199979890244925E-4</v>
      </c>
    </row>
    <row r="150" spans="1:5">
      <c r="A150">
        <v>148</v>
      </c>
      <c r="B150" s="2">
        <v>-5.9929524837125043E-3</v>
      </c>
      <c r="C150" s="2">
        <v>1.1101056046107167</v>
      </c>
      <c r="D150" s="2">
        <v>4.3033622210259389E-5</v>
      </c>
      <c r="E150" s="2">
        <v>8.382382322542287E-4</v>
      </c>
    </row>
    <row r="151" spans="1:5">
      <c r="A151">
        <v>149</v>
      </c>
      <c r="B151" s="2">
        <v>-5.9492248074074303E-3</v>
      </c>
      <c r="C151" s="2">
        <v>1.1109419755137377</v>
      </c>
      <c r="D151" s="2">
        <v>4.4410133715751989E-5</v>
      </c>
      <c r="E151" s="2">
        <v>8.345169155812794E-4</v>
      </c>
    </row>
    <row r="152" spans="1:5">
      <c r="A152">
        <v>150</v>
      </c>
      <c r="B152" s="2">
        <v>-5.9041379707195562E-3</v>
      </c>
      <c r="C152" s="2">
        <v>1.1117746450753039</v>
      </c>
      <c r="D152" s="2">
        <v>4.5752118248056961E-5</v>
      </c>
      <c r="E152" s="2">
        <v>8.3083539940632402E-4</v>
      </c>
    </row>
    <row r="153" spans="1:5">
      <c r="A153">
        <v>151</v>
      </c>
      <c r="B153" s="2">
        <v>-5.8577262380033216E-3</v>
      </c>
      <c r="C153" s="2">
        <v>1.1126036528709702</v>
      </c>
      <c r="D153" s="2">
        <v>4.706009986153938E-5</v>
      </c>
      <c r="E153" s="2">
        <v>8.2719323375190915E-4</v>
      </c>
    </row>
    <row r="154" spans="1:5">
      <c r="A154">
        <v>152</v>
      </c>
      <c r="B154" s="2">
        <v>-5.8100233513544066E-3</v>
      </c>
      <c r="C154" s="2">
        <v>1.1134290380262157</v>
      </c>
      <c r="D154" s="2">
        <v>4.8334598938327857E-5</v>
      </c>
      <c r="E154" s="2">
        <v>8.2358996858893432E-4</v>
      </c>
    </row>
    <row r="155" spans="1:5">
      <c r="A155">
        <v>153</v>
      </c>
      <c r="B155" s="2">
        <v>-5.7610625344009974E-3</v>
      </c>
      <c r="C155" s="2">
        <v>1.1142508392166064</v>
      </c>
      <c r="D155" s="2">
        <v>4.9576131960167776E-5</v>
      </c>
      <c r="E155" s="2">
        <v>8.2002515425156632E-4</v>
      </c>
    </row>
    <row r="156" spans="1:5">
      <c r="A156">
        <v>154</v>
      </c>
      <c r="B156" s="2">
        <v>-5.7108764963093618E-3</v>
      </c>
      <c r="C156" s="2">
        <v>1.1150690946683515</v>
      </c>
      <c r="D156" s="2">
        <v>5.0785211301143042E-5</v>
      </c>
      <c r="E156" s="2">
        <v>8.1649834182067737E-4</v>
      </c>
    </row>
    <row r="157" spans="1:5">
      <c r="A157">
        <v>155</v>
      </c>
      <c r="B157" s="2">
        <v>-5.6594974359913163E-3</v>
      </c>
      <c r="C157" s="2">
        <v>1.1158838421592379</v>
      </c>
      <c r="D157" s="2">
        <v>5.1962345039894878E-5</v>
      </c>
      <c r="E157" s="2">
        <v>8.1300908347781077E-4</v>
      </c>
    </row>
    <row r="158" spans="1:5">
      <c r="A158">
        <v>156</v>
      </c>
      <c r="B158" s="2">
        <v>-5.6069570464843867E-3</v>
      </c>
      <c r="C158" s="2">
        <v>1.1166951190198939</v>
      </c>
      <c r="D158" s="2">
        <v>5.3108036790045769E-5</v>
      </c>
      <c r="E158" s="2">
        <v>8.0955693283155583E-4</v>
      </c>
    </row>
    <row r="159" spans="1:5">
      <c r="A159">
        <v>157</v>
      </c>
      <c r="B159" s="2">
        <v>-5.553286519497584E-3</v>
      </c>
      <c r="C159" s="2">
        <v>1.1175029621353727</v>
      </c>
      <c r="D159" s="2">
        <v>5.4222785547621679E-5</v>
      </c>
      <c r="E159" s="2">
        <v>8.0614144521810112E-4</v>
      </c>
    </row>
    <row r="160" spans="1:5">
      <c r="A160">
        <v>158</v>
      </c>
      <c r="B160" s="2">
        <v>-5.4985165500997879E-3</v>
      </c>
      <c r="C160" s="2">
        <v>1.1183074079470208</v>
      </c>
      <c r="D160" s="2">
        <v>5.5307085554337483E-5</v>
      </c>
      <c r="E160" s="2">
        <v>8.0276217797762065E-4</v>
      </c>
    </row>
    <row r="161" spans="1:5">
      <c r="A161">
        <v>159</v>
      </c>
      <c r="B161" s="2">
        <v>-5.4426773415369558E-3</v>
      </c>
      <c r="C161" s="2">
        <v>1.1191084924546146</v>
      </c>
      <c r="D161" s="2">
        <v>5.6361426175681223E-5</v>
      </c>
      <c r="E161" s="2">
        <v>7.9941869070805421E-4</v>
      </c>
    </row>
    <row r="162" spans="1:5">
      <c r="A162">
        <v>160</v>
      </c>
      <c r="B162" s="2">
        <v>-5.3857986101646053E-3</v>
      </c>
      <c r="C162" s="2">
        <v>1.1199062512187348</v>
      </c>
      <c r="D162" s="2">
        <v>5.7386291792799473E-5</v>
      </c>
      <c r="E162" s="2">
        <v>7.961105454977359E-4</v>
      </c>
    </row>
    <row r="163" spans="1:5">
      <c r="A163">
        <v>161</v>
      </c>
      <c r="B163" s="2">
        <v>-5.3279095904827318E-3</v>
      </c>
      <c r="C163" s="2">
        <v>1.1207007193633693</v>
      </c>
      <c r="D163" s="2">
        <v>5.8382161707249287E-5</v>
      </c>
      <c r="E163" s="2">
        <v>7.9283730713824703E-4</v>
      </c>
    </row>
    <row r="164" spans="1:5">
      <c r="A164">
        <v>162</v>
      </c>
      <c r="B164" s="2">
        <v>-5.2690390402569259E-3</v>
      </c>
      <c r="C164" s="2">
        <v>1.1214919315787153</v>
      </c>
      <c r="D164" s="2">
        <v>5.9349510057736096E-5</v>
      </c>
      <c r="E164" s="2">
        <v>7.8959854331877774E-4</v>
      </c>
    </row>
    <row r="165" spans="1:5">
      <c r="A165">
        <v>163</v>
      </c>
      <c r="B165" s="2">
        <v>-5.2092152457222582E-3</v>
      </c>
      <c r="C165" s="2">
        <v>1.1222799221241697</v>
      </c>
      <c r="D165" s="2">
        <v>6.0288805748018507E-5</v>
      </c>
      <c r="E165" s="2">
        <v>7.8639382480320298E-4</v>
      </c>
    </row>
    <row r="166" spans="1:5">
      <c r="A166">
        <v>164</v>
      </c>
      <c r="B166" s="2">
        <v>-5.148466026847669E-3</v>
      </c>
      <c r="C166" s="2">
        <v>1.1230647248314829</v>
      </c>
      <c r="D166" s="2">
        <v>6.1200512385205198E-5</v>
      </c>
      <c r="E166" s="2">
        <v>7.8322272559100696E-4</v>
      </c>
    </row>
    <row r="167" spans="1:5">
      <c r="A167">
        <v>165</v>
      </c>
      <c r="B167" s="2">
        <v>-5.0868187426615389E-3</v>
      </c>
      <c r="C167" s="2">
        <v>1.123846373108073</v>
      </c>
      <c r="D167" s="2">
        <v>6.2085088227722179E-5</v>
      </c>
      <c r="E167" s="2">
        <v>7.8008482306311843E-4</v>
      </c>
    </row>
    <row r="168" spans="1:5">
      <c r="A168">
        <v>166</v>
      </c>
      <c r="B168" s="2">
        <v>-5.0243002966233073E-3</v>
      </c>
      <c r="C168" s="2">
        <v>1.1246248999404778</v>
      </c>
      <c r="D168" s="2">
        <v>6.294298614227161E-5</v>
      </c>
      <c r="E168" s="2">
        <v>7.769796981136523E-4</v>
      </c>
    </row>
    <row r="169" spans="1:5">
      <c r="A169">
        <v>167</v>
      </c>
      <c r="B169" s="2">
        <v>-4.96093714203412E-3</v>
      </c>
      <c r="C169" s="2">
        <v>1.1254003378979216</v>
      </c>
      <c r="D169" s="2">
        <v>6.3774653569148294E-5</v>
      </c>
      <c r="E169" s="2">
        <v>7.7390693526849436E-4</v>
      </c>
    </row>
    <row r="170" spans="1:5">
      <c r="A170">
        <v>168</v>
      </c>
      <c r="B170" s="2">
        <v>-4.8967552874774585E-3</v>
      </c>
      <c r="C170" s="2">
        <v>1.1261727191360118</v>
      </c>
      <c r="D170" s="2">
        <v>6.4580532495315117E-5</v>
      </c>
      <c r="E170" s="2">
        <v>7.7086612279160592E-4</v>
      </c>
    </row>
    <row r="171" spans="1:5">
      <c r="A171">
        <v>169</v>
      </c>
      <c r="B171" s="2">
        <v>-4.8317803022833814E-3</v>
      </c>
      <c r="C171" s="2">
        <v>1.1269420754005171</v>
      </c>
      <c r="D171" s="2">
        <v>6.5361059434682639E-5</v>
      </c>
      <c r="E171" s="2">
        <v>7.6785685277986975E-4</v>
      </c>
    </row>
    <row r="172" spans="1:5">
      <c r="A172">
        <v>170</v>
      </c>
      <c r="B172" s="2">
        <v>-4.7660373220098492E-3</v>
      </c>
      <c r="C172" s="2">
        <v>1.1277084380312512</v>
      </c>
      <c r="D172" s="2">
        <v>6.6116665415067084E-5</v>
      </c>
      <c r="E172" s="2">
        <v>7.6487872124725222E-4</v>
      </c>
    </row>
    <row r="173" spans="1:5">
      <c r="A173">
        <v>171</v>
      </c>
      <c r="B173" s="2">
        <v>-4.699551053932576E-3</v>
      </c>
      <c r="C173" s="2">
        <v>1.1284718379660239</v>
      </c>
      <c r="D173" s="2">
        <v>6.6847775971339097E-5</v>
      </c>
      <c r="E173" s="2">
        <v>7.6193132819900224E-4</v>
      </c>
    </row>
    <row r="174" spans="1:5">
      <c r="A174">
        <v>172</v>
      </c>
      <c r="B174" s="2">
        <v>-4.6323457825398692E-3</v>
      </c>
      <c r="C174" s="2">
        <v>1.1292323057446707</v>
      </c>
      <c r="D174" s="2">
        <v>6.7554811144302399E-5</v>
      </c>
      <c r="E174" s="2">
        <v>7.5901427769656693E-4</v>
      </c>
    </row>
    <row r="175" spans="1:5">
      <c r="A175">
        <v>173</v>
      </c>
      <c r="B175" s="2">
        <v>-4.5644453750249211E-3</v>
      </c>
      <c r="C175" s="2">
        <v>1.1299898715131336</v>
      </c>
      <c r="D175" s="2">
        <v>6.8238185484873479E-5</v>
      </c>
      <c r="E175" s="2">
        <v>7.5612717791386202E-4</v>
      </c>
    </row>
    <row r="176" spans="1:5">
      <c r="A176">
        <v>174</v>
      </c>
      <c r="B176" s="2">
        <v>-4.4958732867727263E-3</v>
      </c>
      <c r="C176" s="2">
        <v>1.130744565027604</v>
      </c>
      <c r="D176" s="2">
        <v>6.8898308063160271E-5</v>
      </c>
      <c r="E176" s="2">
        <v>7.5326964118549173E-4</v>
      </c>
    </row>
    <row r="177" spans="1:5">
      <c r="A177">
        <v>175</v>
      </c>
      <c r="B177" s="2">
        <v>-4.4266525668344983E-3</v>
      </c>
      <c r="C177" s="2">
        <v>1.1314964156586989</v>
      </c>
      <c r="D177" s="2">
        <v>6.9535582482061422E-5</v>
      </c>
      <c r="E177" s="2">
        <v>7.5044128404747783E-4</v>
      </c>
    </row>
    <row r="178" spans="1:5">
      <c r="A178">
        <v>176</v>
      </c>
      <c r="B178" s="2">
        <v>-4.3568058633861057E-3</v>
      </c>
      <c r="C178" s="2">
        <v>1.1322454523956871</v>
      </c>
      <c r="D178" s="2">
        <v>7.0150406895034862E-5</v>
      </c>
      <c r="E178" s="2">
        <v>7.4764172727102352E-4</v>
      </c>
    </row>
    <row r="179" spans="1:5">
      <c r="A179">
        <v>177</v>
      </c>
      <c r="B179" s="2">
        <v>-4.2863554291679143E-3</v>
      </c>
      <c r="C179" s="2">
        <v>1.1329917038507351</v>
      </c>
      <c r="D179" s="2">
        <v>7.0743174027704868E-5</v>
      </c>
      <c r="E179" s="2">
        <v>7.4487059588980377E-4</v>
      </c>
    </row>
    <row r="180" spans="1:5">
      <c r="A180">
        <v>178</v>
      </c>
      <c r="B180" s="2">
        <v>-4.2153231269005968E-3</v>
      </c>
      <c r="C180" s="2">
        <v>1.1337351982631803</v>
      </c>
      <c r="D180" s="2">
        <v>7.1314271202998144E-5</v>
      </c>
      <c r="E180" s="2">
        <v>7.4212751922124009E-4</v>
      </c>
    </row>
    <row r="181" spans="1:5">
      <c r="A181">
        <v>179</v>
      </c>
      <c r="B181" s="2">
        <v>-4.1437304346747458E-3</v>
      </c>
      <c r="C181" s="2">
        <v>1.1344759635038268</v>
      </c>
      <c r="D181" s="2">
        <v>7.1864080369521519E-5</v>
      </c>
      <c r="E181" s="2">
        <v>7.3941213088219695E-4</v>
      </c>
    </row>
    <row r="182" spans="1:5">
      <c r="A182">
        <v>180</v>
      </c>
      <c r="B182" s="2">
        <v>-4.0715984513074559E-3</v>
      </c>
      <c r="C182" s="2">
        <v>1.1352140270792481</v>
      </c>
      <c r="D182" s="2">
        <v>7.2392978132908268E-5</v>
      </c>
      <c r="E182" s="2">
        <v>7.3672406879949628E-4</v>
      </c>
    </row>
    <row r="183" spans="1:5">
      <c r="A183">
        <v>181</v>
      </c>
      <c r="B183" s="2">
        <v>-3.9989479016720956E-3</v>
      </c>
      <c r="C183" s="2">
        <v>1.135949416136103</v>
      </c>
      <c r="D183" s="2">
        <v>7.2901335789882769E-5</v>
      </c>
      <c r="E183" s="2">
        <v>7.3406297521563953E-4</v>
      </c>
    </row>
    <row r="184" spans="1:5">
      <c r="A184">
        <v>182</v>
      </c>
      <c r="B184" s="2">
        <v>-3.9257991419876671E-3</v>
      </c>
      <c r="C184" s="2">
        <v>1.13668215746545</v>
      </c>
      <c r="D184" s="2">
        <v>7.3389519364805582E-5</v>
      </c>
      <c r="E184" s="2">
        <v>7.3142849669008295E-4</v>
      </c>
    </row>
    <row r="185" spans="1:5">
      <c r="A185">
        <v>183</v>
      </c>
      <c r="B185" s="2">
        <v>-3.852172165071526E-3</v>
      </c>
      <c r="C185" s="2">
        <v>1.1374122775070661</v>
      </c>
      <c r="D185" s="2">
        <v>7.3857889648478443E-5</v>
      </c>
      <c r="E185" s="2">
        <v>7.2882028409640182E-4</v>
      </c>
    </row>
    <row r="186" spans="1:5">
      <c r="A186">
        <v>184</v>
      </c>
      <c r="B186" s="2">
        <v>-3.7780866055539828E-3</v>
      </c>
      <c r="C186" s="2">
        <v>1.1381398023537561</v>
      </c>
      <c r="D186" s="2">
        <v>7.4306802239001917E-5</v>
      </c>
      <c r="E186" s="2">
        <v>7.262379926156595E-4</v>
      </c>
    </row>
    <row r="187" spans="1:5">
      <c r="A187">
        <v>185</v>
      </c>
      <c r="B187" s="2">
        <v>-3.7035617450491398E-3</v>
      </c>
      <c r="C187" s="2">
        <v>1.1388647577556579</v>
      </c>
      <c r="D187" s="2">
        <v>7.4736607584494988E-5</v>
      </c>
      <c r="E187" s="2">
        <v>7.2368128172626536E-4</v>
      </c>
    </row>
    <row r="188" spans="1:5">
      <c r="A188">
        <v>186</v>
      </c>
      <c r="B188" s="2">
        <v>-3.6286165172845436E-3</v>
      </c>
      <c r="C188" s="2">
        <v>1.1395871691245294</v>
      </c>
      <c r="D188" s="2">
        <v>7.5147651027493393E-5</v>
      </c>
      <c r="E188" s="2">
        <v>7.2114981519059908E-4</v>
      </c>
    </row>
    <row r="189" spans="1:5">
      <c r="A189">
        <v>187</v>
      </c>
      <c r="B189" s="2">
        <v>-3.5532695131810753E-3</v>
      </c>
      <c r="C189" s="2">
        <v>1.1403070615380315</v>
      </c>
      <c r="D189" s="2">
        <v>7.5540272850860949E-5</v>
      </c>
      <c r="E189" s="2">
        <v>7.1864326103865677E-4</v>
      </c>
    </row>
    <row r="190" spans="1:5">
      <c r="A190">
        <v>188</v>
      </c>
      <c r="B190" s="2">
        <v>-3.4775389858917108E-3</v>
      </c>
      <c r="C190" s="2">
        <v>1.1410244597439794</v>
      </c>
      <c r="D190" s="2">
        <v>7.5914808325055902E-5</v>
      </c>
      <c r="E190" s="2">
        <v>7.1616129154895662E-4</v>
      </c>
    </row>
    <row r="191" spans="1:5">
      <c r="A191">
        <v>189</v>
      </c>
      <c r="B191" s="2">
        <v>-3.401442855789557E-3</v>
      </c>
      <c r="C191" s="2">
        <v>1.1417393881645863</v>
      </c>
      <c r="D191" s="2">
        <v>7.6271587756605608E-5</v>
      </c>
      <c r="E191" s="2">
        <v>7.1370358322692812E-4</v>
      </c>
    </row>
    <row r="192" spans="1:5">
      <c r="A192">
        <v>190</v>
      </c>
      <c r="B192" s="2">
        <v>-3.3249987154059294E-3</v>
      </c>
      <c r="C192" s="2">
        <v>1.1424518709006759</v>
      </c>
      <c r="D192" s="2">
        <v>7.6610936537653879E-5</v>
      </c>
      <c r="E192" s="2">
        <v>7.1126981678099413E-4</v>
      </c>
    </row>
    <row r="193" spans="1:5">
      <c r="A193">
        <v>191</v>
      </c>
      <c r="B193" s="2">
        <v>-3.2482238343212689E-3</v>
      </c>
      <c r="C193" s="2">
        <v>1.1431619317358723</v>
      </c>
      <c r="D193" s="2">
        <v>7.6933175196452564E-5</v>
      </c>
      <c r="E193" s="2">
        <v>7.088596770965423E-4</v>
      </c>
    </row>
    <row r="194" spans="1:5">
      <c r="A194">
        <v>192</v>
      </c>
      <c r="B194" s="2">
        <v>-3.1711351640018167E-3</v>
      </c>
      <c r="C194" s="2">
        <v>1.1438695941407657</v>
      </c>
      <c r="D194" s="2">
        <v>7.723861944867975E-5</v>
      </c>
      <c r="E194" s="2">
        <v>7.0647285320796726E-4</v>
      </c>
    </row>
    <row r="195" spans="1:5">
      <c r="A195">
        <v>193</v>
      </c>
      <c r="B195" s="2">
        <v>-3.0937493425876239E-3</v>
      </c>
      <c r="C195" s="2">
        <v>1.1445748812770447</v>
      </c>
      <c r="D195" s="2">
        <v>7.752758024947361E-5</v>
      </c>
      <c r="E195" s="2">
        <v>7.0410903826895589E-4</v>
      </c>
    </row>
    <row r="196" spans="1:5">
      <c r="A196">
        <v>194</v>
      </c>
      <c r="B196" s="2">
        <v>-3.0160826996261077E-3</v>
      </c>
      <c r="C196" s="2">
        <v>1.1452778160016006</v>
      </c>
      <c r="D196" s="2">
        <v>7.7800363846078287E-5</v>
      </c>
      <c r="E196" s="2">
        <v>7.0176792952117569E-4</v>
      </c>
    </row>
    <row r="197" spans="1:5">
      <c r="A197">
        <v>195</v>
      </c>
      <c r="B197" s="2">
        <v>-2.9381512607542554E-3</v>
      </c>
      <c r="C197" s="2">
        <v>1.1459784208706014</v>
      </c>
      <c r="D197" s="2">
        <v>7.8057271831008429E-5</v>
      </c>
      <c r="E197" s="2">
        <v>6.994492282615132E-4</v>
      </c>
    </row>
    <row r="198" spans="1:5">
      <c r="A198">
        <v>196</v>
      </c>
      <c r="B198" s="2">
        <v>-2.8599707523254813E-3</v>
      </c>
      <c r="C198" s="2">
        <v>1.1466767181435251</v>
      </c>
      <c r="D198" s="2">
        <v>7.8298601195640351E-5</v>
      </c>
      <c r="E198" s="2">
        <v>6.9715263980800642E-4</v>
      </c>
    </row>
    <row r="199" spans="1:5">
      <c r="A199">
        <v>197</v>
      </c>
      <c r="B199" s="2">
        <v>-2.7815566059842356E-3</v>
      </c>
      <c r="C199" s="2">
        <v>1.1473727297871696</v>
      </c>
      <c r="D199" s="2">
        <v>7.8524644384149212E-5</v>
      </c>
      <c r="E199" s="2">
        <v>6.9487787346459514E-4</v>
      </c>
    </row>
    <row r="200" spans="1:5">
      <c r="A200">
        <v>198</v>
      </c>
      <c r="B200" s="2">
        <v>-2.7029239631875058E-3</v>
      </c>
      <c r="C200" s="2">
        <v>1.1480664774796159</v>
      </c>
      <c r="D200" s="2">
        <v>7.8735689347714813E-5</v>
      </c>
      <c r="E200" s="2">
        <v>6.9262464248481793E-4</v>
      </c>
    </row>
    <row r="201" spans="1:5">
      <c r="A201">
        <v>199</v>
      </c>
      <c r="B201" s="2">
        <v>-2.6240876796679814E-3</v>
      </c>
      <c r="C201" s="2">
        <v>1.1487579826141621</v>
      </c>
      <c r="D201" s="2">
        <v>7.893201959892476E-5</v>
      </c>
      <c r="E201" s="2">
        <v>6.9039266403456254E-4</v>
      </c>
    </row>
    <row r="202" spans="1:5">
      <c r="A202">
        <v>200</v>
      </c>
      <c r="B202" s="2">
        <v>-2.5450623298482137E-3</v>
      </c>
      <c r="C202" s="2">
        <v>1.1494472663032151</v>
      </c>
      <c r="D202" s="2">
        <v>7.91139142663081E-5</v>
      </c>
      <c r="E202" s="2">
        <v>6.8818165915398015E-4</v>
      </c>
    </row>
    <row r="203" spans="1:5">
      <c r="A203">
        <v>201</v>
      </c>
      <c r="B203" s="2">
        <v>-2.4658622111952528E-3</v>
      </c>
      <c r="C203" s="2">
        <v>1.1501343493821472</v>
      </c>
      <c r="D203" s="2">
        <v>7.9281648148939944E-5</v>
      </c>
      <c r="E203" s="2">
        <v>6.8599135271866043E-4</v>
      </c>
    </row>
  </sheetData>
  <phoneticPr fontId="3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4829D-2023-4A3E-8560-284BC0961F28}">
  <sheetPr codeName="Sheet4"/>
  <dimension ref="A1:M2"/>
  <sheetViews>
    <sheetView showGridLines="0" workbookViewId="0">
      <selection activeCell="P6" sqref="P6"/>
    </sheetView>
  </sheetViews>
  <sheetFormatPr defaultRowHeight="10.8"/>
  <cols>
    <col min="1" max="8" width="9.875" style="2" customWidth="1"/>
  </cols>
  <sheetData>
    <row r="1" spans="1:13">
      <c r="A1" s="4"/>
      <c r="B1" s="4"/>
      <c r="C1" s="4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s="11" customForma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</sheetData>
  <phoneticPr fontId="3"/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変更履歴</vt:lpstr>
      <vt:lpstr>壁体構成</vt:lpstr>
      <vt:lpstr>応答係数</vt:lpstr>
      <vt:lpstr>応答係数Template</vt:lpstr>
      <vt:lpstr>パラメータ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satoh-er</dc:creator>
  <cp:lastModifiedBy>佐藤誠</cp:lastModifiedBy>
  <cp:lastPrinted>2015-12-17T05:10:53Z</cp:lastPrinted>
  <dcterms:created xsi:type="dcterms:W3CDTF">2015-11-12T05:00:51Z</dcterms:created>
  <dcterms:modified xsi:type="dcterms:W3CDTF">2020-09-29T04:46:19Z</dcterms:modified>
</cp:coreProperties>
</file>