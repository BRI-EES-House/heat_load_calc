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toh\Documents\sourcetree\heat_load_calc\test\response_factor\"/>
    </mc:Choice>
  </mc:AlternateContent>
  <xr:revisionPtr revIDLastSave="0" documentId="13_ncr:1_{59338A24-1BCF-4E71-A31A-0023FF7DDD82}" xr6:coauthVersionLast="45" xr6:coauthVersionMax="45" xr10:uidLastSave="{00000000-0000-0000-0000-000000000000}"/>
  <bookViews>
    <workbookView xWindow="10584" yWindow="1680" windowWidth="11880" windowHeight="10152" tabRatio="693" firstSheet="1" activeTab="2" xr2:uid="{00000000-000D-0000-FFFF-FFFF00000000}"/>
  </bookViews>
  <sheets>
    <sheet name="変更履歴" sheetId="144" r:id="rId1"/>
    <sheet name="壁体構成" sheetId="1" r:id="rId2"/>
    <sheet name="応答係数" sheetId="91" r:id="rId3"/>
    <sheet name="応答係数Template" sheetId="1047" r:id="rId4"/>
  </sheets>
  <functionGroups builtInGroupCount="19"/>
  <externalReferences>
    <externalReference r:id="rId5"/>
  </externalReferences>
  <definedNames>
    <definedName name="Approach">#REF!</definedName>
    <definedName name="DetailOut">#REF!</definedName>
    <definedName name="DTime" localSheetId="3">[1]入力データ!$C$2</definedName>
    <definedName name="DTime">#REF!</definedName>
    <definedName name="FFcalcMethod">#REF!</definedName>
    <definedName name="fsolflr">#REF!</definedName>
    <definedName name="Lat">#REF!</definedName>
    <definedName name="Lon">#REF!</definedName>
    <definedName name="Ls">#REF!</definedName>
    <definedName name="NcalTime">#REF!</definedName>
    <definedName name="OTset">#REF!</definedName>
    <definedName name="SimEnDay">#REF!</definedName>
    <definedName name="SimEnMo">#REF!</definedName>
    <definedName name="SimStDay">#REF!</definedName>
    <definedName name="SimStMo">#REF!</definedName>
    <definedName name="パラメータ">壁体構成!$H$1:$O$1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1" l="1"/>
  <c r="G9" i="1"/>
  <c r="F10" i="1"/>
  <c r="G10" i="1"/>
  <c r="F11" i="1"/>
  <c r="G11" i="1"/>
  <c r="F8" i="1"/>
  <c r="G8" i="1"/>
  <c r="G7" i="1"/>
  <c r="C7" i="1"/>
  <c r="F7" i="1" s="1"/>
  <c r="G6" i="1" l="1"/>
  <c r="F6" i="1"/>
  <c r="F12" i="1" l="1"/>
  <c r="L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佐藤誠</author>
    <author>satoh</author>
  </authors>
  <commentList>
    <comment ref="D3" authorId="0" shapeId="0" xr:uid="{01A7B5AA-D1B8-4D8D-AD9C-AB73FDD4C7E1}">
      <text>
        <r>
          <rPr>
            <b/>
            <sz val="9"/>
            <color indexed="81"/>
            <rFont val="MS P ゴシック"/>
            <family val="3"/>
            <charset val="128"/>
          </rPr>
          <t>佐藤誠:</t>
        </r>
        <r>
          <rPr>
            <sz val="9"/>
            <color indexed="81"/>
            <rFont val="MS P ゴシック"/>
            <family val="3"/>
            <charset val="128"/>
          </rPr>
          <t xml:space="preserve">
空欄なら定常項とする</t>
        </r>
      </text>
    </comment>
    <comment ref="A4" authorId="1" shapeId="0" xr:uid="{BE9D6446-3089-40F3-8B6A-4AC487BE9905}">
      <text>
        <r>
          <rPr>
            <b/>
            <sz val="9"/>
            <color indexed="81"/>
            <rFont val="ＭＳ Ｐゴシック"/>
            <family val="3"/>
            <charset val="128"/>
          </rPr>
          <t>satoh:</t>
        </r>
        <r>
          <rPr>
            <sz val="9"/>
            <color indexed="81"/>
            <rFont val="ＭＳ Ｐゴシック"/>
            <family val="3"/>
            <charset val="128"/>
          </rPr>
          <t xml:space="preserve">
「床」の文言が含まれるものが床扱い
（透過日射が集中的に吸収される）</t>
        </r>
      </text>
    </comment>
  </commentList>
</comments>
</file>

<file path=xl/sharedStrings.xml><?xml version="1.0" encoding="utf-8"?>
<sst xmlns="http://schemas.openxmlformats.org/spreadsheetml/2006/main" count="57" uniqueCount="53">
  <si>
    <t>日付</t>
    <rPh sb="0" eb="2">
      <t>ヒヅケ</t>
    </rPh>
    <phoneticPr fontId="3"/>
  </si>
  <si>
    <t>[-]</t>
    <phoneticPr fontId="3"/>
  </si>
  <si>
    <t>熱伝導率</t>
    <rPh sb="0" eb="1">
      <t>ネツ</t>
    </rPh>
    <rPh sb="1" eb="4">
      <t>デンドウリツ</t>
    </rPh>
    <phoneticPr fontId="3"/>
  </si>
  <si>
    <t>容積比熱</t>
    <rPh sb="0" eb="2">
      <t>ヨウセキ</t>
    </rPh>
    <rPh sb="2" eb="4">
      <t>ヒネツ</t>
    </rPh>
    <phoneticPr fontId="3"/>
  </si>
  <si>
    <t>厚さ</t>
    <rPh sb="0" eb="1">
      <t>アツ</t>
    </rPh>
    <phoneticPr fontId="3"/>
  </si>
  <si>
    <t>R熱抵抗</t>
    <rPh sb="1" eb="2">
      <t>ネツ</t>
    </rPh>
    <rPh sb="2" eb="4">
      <t>テイコウ</t>
    </rPh>
    <phoneticPr fontId="3"/>
  </si>
  <si>
    <t>C単位面積熱容量</t>
    <rPh sb="1" eb="3">
      <t>タンイ</t>
    </rPh>
    <rPh sb="3" eb="5">
      <t>メンセキ</t>
    </rPh>
    <rPh sb="5" eb="8">
      <t>ネツヨウリョウ</t>
    </rPh>
    <phoneticPr fontId="3"/>
  </si>
  <si>
    <t>[mm]</t>
  </si>
  <si>
    <t>部材</t>
    <rPh sb="0" eb="2">
      <t>ブザイ</t>
    </rPh>
    <phoneticPr fontId="3"/>
  </si>
  <si>
    <t>部位名称</t>
    <rPh sb="0" eb="2">
      <t>ブイ</t>
    </rPh>
    <rPh sb="2" eb="4">
      <t>メイショウ</t>
    </rPh>
    <phoneticPr fontId="3"/>
  </si>
  <si>
    <t>熱貫流率</t>
    <rPh sb="0" eb="1">
      <t>ネツ</t>
    </rPh>
    <rPh sb="1" eb="3">
      <t>カンリュウ</t>
    </rPh>
    <rPh sb="3" eb="4">
      <t>リツ</t>
    </rPh>
    <phoneticPr fontId="3"/>
  </si>
  <si>
    <t>時間間隔</t>
    <rPh sb="0" eb="2">
      <t>ジカン</t>
    </rPh>
    <rPh sb="2" eb="4">
      <t>カンカク</t>
    </rPh>
    <phoneticPr fontId="3"/>
  </si>
  <si>
    <t>s</t>
    <phoneticPr fontId="3"/>
  </si>
  <si>
    <t>作成項数</t>
    <rPh sb="0" eb="2">
      <t>サクセイ</t>
    </rPh>
    <rPh sb="2" eb="4">
      <t>コウスウ</t>
    </rPh>
    <phoneticPr fontId="3"/>
  </si>
  <si>
    <t>時間</t>
    <rPh sb="0" eb="2">
      <t>ジカン</t>
    </rPh>
    <phoneticPr fontId="3"/>
  </si>
  <si>
    <t>[kJ/m3K]</t>
    <phoneticPr fontId="3"/>
  </si>
  <si>
    <t>室外側放射率</t>
    <rPh sb="0" eb="2">
      <t>シツガイ</t>
    </rPh>
    <rPh sb="2" eb="3">
      <t>ガワ</t>
    </rPh>
    <rPh sb="3" eb="6">
      <t>ホウシャリツ</t>
    </rPh>
    <phoneticPr fontId="3"/>
  </si>
  <si>
    <t>室外側日射吸収率</t>
    <rPh sb="0" eb="2">
      <t>シツガイ</t>
    </rPh>
    <rPh sb="2" eb="3">
      <t>ガワ</t>
    </rPh>
    <rPh sb="3" eb="5">
      <t>ニッシャ</t>
    </rPh>
    <rPh sb="5" eb="7">
      <t>キュウシュウ</t>
    </rPh>
    <rPh sb="7" eb="8">
      <t>リツ</t>
    </rPh>
    <phoneticPr fontId="3"/>
  </si>
  <si>
    <t>対象</t>
    <rPh sb="0" eb="2">
      <t>タイショウ</t>
    </rPh>
    <phoneticPr fontId="3"/>
  </si>
  <si>
    <t>内容</t>
    <rPh sb="0" eb="2">
      <t>ナイヨウ</t>
    </rPh>
    <phoneticPr fontId="3"/>
  </si>
  <si>
    <t>室内放射熱伝達率</t>
    <rPh sb="0" eb="2">
      <t>シツナイ</t>
    </rPh>
    <rPh sb="2" eb="4">
      <t>ホウシャ</t>
    </rPh>
    <rPh sb="4" eb="8">
      <t>ネツデンタツリツ</t>
    </rPh>
    <phoneticPr fontId="3"/>
  </si>
  <si>
    <t>[W/(m2･K)]</t>
    <phoneticPr fontId="3"/>
  </si>
  <si>
    <t>室内対流熱伝達率</t>
    <rPh sb="0" eb="2">
      <t>シツナイ</t>
    </rPh>
    <rPh sb="2" eb="4">
      <t>タイリュウ</t>
    </rPh>
    <rPh sb="4" eb="8">
      <t>ネツデンタツリツ</t>
    </rPh>
    <phoneticPr fontId="3"/>
  </si>
  <si>
    <t>[m2K/W]</t>
    <phoneticPr fontId="3"/>
  </si>
  <si>
    <t>[W/mK]</t>
    <phoneticPr fontId="3"/>
  </si>
  <si>
    <t>[kJ/m2K]</t>
    <phoneticPr fontId="3"/>
  </si>
  <si>
    <t>貫流応答（単位）</t>
  </si>
  <si>
    <t>吸熱応答（単位）</t>
  </si>
  <si>
    <t>貫流応答（二等辺三角）</t>
  </si>
  <si>
    <t>吸熱応答（二等辺三角）</t>
  </si>
  <si>
    <t>根（α）</t>
  </si>
  <si>
    <t>公比</t>
  </si>
  <si>
    <t>指数項別貫流応答</t>
  </si>
  <si>
    <t>指数項別吸熱応答</t>
  </si>
  <si>
    <t>固定根α</t>
    <rPh sb="0" eb="2">
      <t>コテイ</t>
    </rPh>
    <rPh sb="2" eb="3">
      <t>コン</t>
    </rPh>
    <phoneticPr fontId="3"/>
  </si>
  <si>
    <t>ラプラス変数s</t>
    <rPh sb="4" eb="6">
      <t>ヘンスウ</t>
    </rPh>
    <phoneticPr fontId="3"/>
  </si>
  <si>
    <t>↑ラプラス変数が空欄の場合は、固定根から等比数列によってラプラス変数を生成する</t>
    <rPh sb="5" eb="7">
      <t>ヘンスウ</t>
    </rPh>
    <rPh sb="8" eb="10">
      <t>クウラン</t>
    </rPh>
    <rPh sb="11" eb="13">
      <t>バアイ</t>
    </rPh>
    <rPh sb="15" eb="17">
      <t>コテイ</t>
    </rPh>
    <rPh sb="17" eb="18">
      <t>コン</t>
    </rPh>
    <rPh sb="20" eb="22">
      <t>トウヒ</t>
    </rPh>
    <rPh sb="22" eb="24">
      <t>スウレツ</t>
    </rPh>
    <rPh sb="32" eb="34">
      <t>ヘンスウ</t>
    </rPh>
    <rPh sb="35" eb="37">
      <t>セイセイ</t>
    </rPh>
    <phoneticPr fontId="3"/>
  </si>
  <si>
    <t>A0周期</t>
    <rPh sb="2" eb="4">
      <t>シュウキ</t>
    </rPh>
    <phoneticPr fontId="3"/>
  </si>
  <si>
    <t>全体</t>
    <rPh sb="0" eb="2">
      <t>ゼンタイ</t>
    </rPh>
    <phoneticPr fontId="3"/>
  </si>
  <si>
    <t>応答係数を計算する部分を抜粋</t>
    <rPh sb="0" eb="2">
      <t>オウトウ</t>
    </rPh>
    <rPh sb="2" eb="4">
      <t>ケイスウ</t>
    </rPh>
    <rPh sb="5" eb="7">
      <t>ケイサン</t>
    </rPh>
    <rPh sb="9" eb="11">
      <t>ブブン</t>
    </rPh>
    <rPh sb="12" eb="14">
      <t>バッスイ</t>
    </rPh>
    <phoneticPr fontId="3"/>
  </si>
  <si>
    <t>石こうボード</t>
    <rPh sb="0" eb="1">
      <t>セッ</t>
    </rPh>
    <phoneticPr fontId="3"/>
  </si>
  <si>
    <t>非密閉中空層</t>
    <rPh sb="0" eb="1">
      <t>ヒ</t>
    </rPh>
    <rPh sb="1" eb="3">
      <t>ミッペイ</t>
    </rPh>
    <rPh sb="3" eb="6">
      <t>チュウクウソウ</t>
    </rPh>
    <phoneticPr fontId="3"/>
  </si>
  <si>
    <t>コンクリート</t>
    <phoneticPr fontId="3"/>
  </si>
  <si>
    <t>押出法ポリスチレンフォーム保温板2種</t>
    <rPh sb="0" eb="2">
      <t>オシダシ</t>
    </rPh>
    <rPh sb="2" eb="3">
      <t>ホウ</t>
    </rPh>
    <rPh sb="13" eb="16">
      <t>ホオンバン</t>
    </rPh>
    <rPh sb="17" eb="18">
      <t>シュ</t>
    </rPh>
    <phoneticPr fontId="3"/>
  </si>
  <si>
    <t>室外側熱伝達率</t>
    <rPh sb="0" eb="2">
      <t>シツガイ</t>
    </rPh>
    <rPh sb="2" eb="3">
      <t>ガワ</t>
    </rPh>
    <rPh sb="3" eb="7">
      <t>ネツデンタツリツ</t>
    </rPh>
    <phoneticPr fontId="3"/>
  </si>
  <si>
    <t>パラメータAT</t>
  </si>
  <si>
    <t>パラメータAA</t>
  </si>
  <si>
    <t>ラプラス変数</t>
  </si>
  <si>
    <t>伝達関数GT</t>
  </si>
  <si>
    <t>伝達関数GA</t>
  </si>
  <si>
    <t>壁体</t>
  </si>
  <si>
    <t>壁体</t>
    <rPh sb="0" eb="2">
      <t>ヘキタイ</t>
    </rPh>
    <phoneticPr fontId="3"/>
  </si>
  <si>
    <t>モルタル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</si>
</sst>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0"/>
    <numFmt numFmtId="177" formatCode="0.000"/>
    <numFmt numFmtId="179" formatCode="yyyy/m/d;@"/>
    <numFmt numFmtId="180" formatCode="0.0000E+00"/>
    <numFmt numFmtId="189" formatCode="0.000000"/>
    <numFmt numFmtId="193" formatCode="0.0000000000"/>
  </numFmts>
  <fonts count="13"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 tint="0.34998626667073579"/>
      <name val="ＭＳ Ｐゴシック"/>
      <family val="2"/>
      <charset val="128"/>
      <scheme val="minor"/>
    </font>
    <font>
      <sz val="9"/>
      <color theme="1" tint="0.34998626667073579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/>
  </cellStyleXfs>
  <cellXfs count="33">
    <xf numFmtId="0" fontId="0" fillId="0" borderId="0" xfId="0">
      <alignment vertical="center"/>
    </xf>
    <xf numFmtId="0" fontId="0" fillId="2" borderId="4" xfId="0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10" fillId="2" borderId="1" xfId="0" applyFont="1" applyFill="1" applyBorder="1" applyAlignment="1">
      <alignment horizontal="centerContinuous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0" fontId="0" fillId="2" borderId="3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0" fillId="2" borderId="1" xfId="0" applyFont="1" applyFill="1" applyBorder="1" applyAlignment="1">
      <alignment horizontal="centerContinuous" vertical="center" wrapText="1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2" fontId="0" fillId="3" borderId="4" xfId="0" applyNumberFormat="1" applyFill="1" applyBorder="1" applyAlignment="1">
      <alignment horizontal="centerContinuous" vertical="center"/>
    </xf>
    <xf numFmtId="0" fontId="0" fillId="0" borderId="1" xfId="0" applyFill="1" applyBorder="1" applyAlignment="1">
      <alignment vertical="center" wrapText="1"/>
    </xf>
    <xf numFmtId="179" fontId="0" fillId="0" borderId="1" xfId="0" applyNumberFormat="1" applyBorder="1">
      <alignment vertical="center"/>
    </xf>
    <xf numFmtId="180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1" xfId="0" applyNumberFormat="1" applyFill="1" applyBorder="1">
      <alignment vertical="center"/>
    </xf>
    <xf numFmtId="2" fontId="0" fillId="0" borderId="3" xfId="0" applyNumberFormat="1" applyFill="1" applyBorder="1" applyAlignment="1">
      <alignment horizontal="centerContinuous" vertical="center"/>
    </xf>
    <xf numFmtId="177" fontId="0" fillId="0" borderId="0" xfId="0" applyNumberFormat="1">
      <alignment vertical="center"/>
    </xf>
    <xf numFmtId="189" fontId="0" fillId="0" borderId="1" xfId="1" applyNumberFormat="1" applyFont="1" applyBorder="1">
      <alignment vertical="center"/>
    </xf>
    <xf numFmtId="193" fontId="0" fillId="0" borderId="1" xfId="0" applyNumberFormat="1" applyBorder="1">
      <alignment vertical="center"/>
    </xf>
  </cellXfs>
  <cellStyles count="17">
    <cellStyle name="パーセント 2" xfId="3" xr:uid="{00000000-0005-0000-0000-000000000000}"/>
    <cellStyle name="桁区切り" xfId="1" builtinId="6"/>
    <cellStyle name="桁区切り 2" xfId="4" xr:uid="{00000000-0005-0000-0000-000002000000}"/>
    <cellStyle name="桁区切り 2 2" xfId="5" xr:uid="{00000000-0005-0000-0000-000003000000}"/>
    <cellStyle name="桁区切り 2 2 2" xfId="6" xr:uid="{00000000-0005-0000-0000-000004000000}"/>
    <cellStyle name="桁区切り 2 3" xfId="7" xr:uid="{00000000-0005-0000-0000-000005000000}"/>
    <cellStyle name="桁区切り 3" xfId="8" xr:uid="{00000000-0005-0000-0000-000006000000}"/>
    <cellStyle name="桁区切り 4" xfId="9" xr:uid="{00000000-0005-0000-0000-000007000000}"/>
    <cellStyle name="標準" xfId="0" builtinId="0"/>
    <cellStyle name="標準 10" xfId="10" xr:uid="{00000000-0005-0000-0000-000009000000}"/>
    <cellStyle name="標準 11" xfId="11" xr:uid="{00000000-0005-0000-0000-00000A000000}"/>
    <cellStyle name="標準 12" xfId="12" xr:uid="{00000000-0005-0000-0000-00000B000000}"/>
    <cellStyle name="標準 2" xfId="13" xr:uid="{00000000-0005-0000-0000-00000C000000}"/>
    <cellStyle name="標準 2 2" xfId="14" xr:uid="{00000000-0005-0000-0000-00000D000000}"/>
    <cellStyle name="標準 3" xfId="15" xr:uid="{00000000-0005-0000-0000-00000E000000}"/>
    <cellStyle name="標準 4" xfId="2" xr:uid="{00000000-0005-0000-0000-00000F000000}"/>
    <cellStyle name="標準 9" xfId="16" xr:uid="{00000000-0005-0000-0000-000010000000}"/>
  </cellStyles>
  <dxfs count="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99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応答係数!$AX$2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応答係数!$AX$3:$AX$803</c:f>
              <c:numCache>
                <c:formatCode>General</c:formatCode>
                <c:ptCount val="8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4F-43CB-8212-0E2DB5FB38FE}"/>
            </c:ext>
          </c:extLst>
        </c:ser>
        <c:ser>
          <c:idx val="1"/>
          <c:order val="1"/>
          <c:tx>
            <c:strRef>
              <c:f>応答係数!$AY$2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応答係数!$AY$3:$AY$803</c:f>
              <c:numCache>
                <c:formatCode>General</c:formatCode>
                <c:ptCount val="8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4F-43CB-8212-0E2DB5FB3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2560696"/>
        <c:axId val="722557416"/>
      </c:lineChart>
      <c:catAx>
        <c:axId val="722560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2557416"/>
        <c:crosses val="autoZero"/>
        <c:auto val="1"/>
        <c:lblAlgn val="ctr"/>
        <c:lblOffset val="100"/>
        <c:noMultiLvlLbl val="0"/>
      </c:catAx>
      <c:valAx>
        <c:axId val="72255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2560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応答係数!$C$2</c:f>
              <c:strCache>
                <c:ptCount val="1"/>
                <c:pt idx="0">
                  <c:v>吸熱応答（単位）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応答係数!$C$3:$C$4003</c:f>
              <c:numCache>
                <c:formatCode>0.0000</c:formatCode>
                <c:ptCount val="4001"/>
                <c:pt idx="0">
                  <c:v>3.117612507258638E-2</c:v>
                </c:pt>
                <c:pt idx="1">
                  <c:v>7.4084912151638899E-2</c:v>
                </c:pt>
                <c:pt idx="2">
                  <c:v>0.11128766883542486</c:v>
                </c:pt>
                <c:pt idx="3">
                  <c:v>0.1431551364771553</c:v>
                </c:pt>
                <c:pt idx="4">
                  <c:v>0.16108262287748479</c:v>
                </c:pt>
                <c:pt idx="5">
                  <c:v>0.16894324030357796</c:v>
                </c:pt>
                <c:pt idx="6">
                  <c:v>0.17083540283059209</c:v>
                </c:pt>
                <c:pt idx="7">
                  <c:v>0.16960259448184839</c:v>
                </c:pt>
                <c:pt idx="8">
                  <c:v>0.16703963198231223</c:v>
                </c:pt>
                <c:pt idx="9">
                  <c:v>0.16423053107049376</c:v>
                </c:pt>
                <c:pt idx="10">
                  <c:v>0.16180191486016368</c:v>
                </c:pt>
                <c:pt idx="11">
                  <c:v>0.16009201708152648</c:v>
                </c:pt>
                <c:pt idx="12">
                  <c:v>0.1592600088821933</c:v>
                </c:pt>
                <c:pt idx="13">
                  <c:v>0.15935597030420978</c:v>
                </c:pt>
                <c:pt idx="14">
                  <c:v>0.16036538355442673</c:v>
                </c:pt>
                <c:pt idx="15">
                  <c:v>0.16223723051318445</c:v>
                </c:pt>
                <c:pt idx="16">
                  <c:v>0.16490157125116875</c:v>
                </c:pt>
                <c:pt idx="17">
                  <c:v>0.16828039277943571</c:v>
                </c:pt>
                <c:pt idx="18">
                  <c:v>0.17229416752772367</c:v>
                </c:pt>
                <c:pt idx="19">
                  <c:v>0.17686569020307905</c:v>
                </c:pt>
                <c:pt idx="20">
                  <c:v>0.18192220026871483</c:v>
                </c:pt>
                <c:pt idx="21">
                  <c:v>0.18739643554953495</c:v>
                </c:pt>
                <c:pt idx="22">
                  <c:v>0.19322702953368925</c:v>
                </c:pt>
                <c:pt idx="23">
                  <c:v>0.1993585150575653</c:v>
                </c:pt>
                <c:pt idx="24">
                  <c:v>0.20574110072469248</c:v>
                </c:pt>
                <c:pt idx="25">
                  <c:v>0.21233032458127571</c:v>
                </c:pt>
                <c:pt idx="26">
                  <c:v>0.21908664997424349</c:v>
                </c:pt>
                <c:pt idx="27">
                  <c:v>0.22597504323350179</c:v>
                </c:pt>
                <c:pt idx="28">
                  <c:v>0.2329645567427831</c:v>
                </c:pt>
                <c:pt idx="29">
                  <c:v>0.24002793080172263</c:v>
                </c:pt>
                <c:pt idx="30">
                  <c:v>0.24714122131459396</c:v>
                </c:pt>
                <c:pt idx="31">
                  <c:v>0.25428345640234351</c:v>
                </c:pt>
                <c:pt idx="32">
                  <c:v>0.26143632264480149</c:v>
                </c:pt>
                <c:pt idx="33">
                  <c:v>0.26858388025372315</c:v>
                </c:pt>
                <c:pt idx="34">
                  <c:v>0.2757123056914268</c:v>
                </c:pt>
                <c:pt idx="35">
                  <c:v>0.28280965985139944</c:v>
                </c:pt>
                <c:pt idx="36">
                  <c:v>0.28986567975744687</c:v>
                </c:pt>
                <c:pt idx="37">
                  <c:v>0.29687159172191141</c:v>
                </c:pt>
                <c:pt idx="38">
                  <c:v>0.30381994397101242</c:v>
                </c:pt>
                <c:pt idx="39">
                  <c:v>0.31070445685866799</c:v>
                </c:pt>
                <c:pt idx="40">
                  <c:v>0.31751988892564187</c:v>
                </c:pt>
                <c:pt idx="41">
                  <c:v>0.32426191720412401</c:v>
                </c:pt>
                <c:pt idx="42">
                  <c:v>0.33092703031027321</c:v>
                </c:pt>
                <c:pt idx="43">
                  <c:v>0.33751243300384809</c:v>
                </c:pt>
                <c:pt idx="44">
                  <c:v>0.34401596102223758</c:v>
                </c:pt>
                <c:pt idx="45">
                  <c:v>0.35043600511470802</c:v>
                </c:pt>
                <c:pt idx="46">
                  <c:v>0.35677144331122973</c:v>
                </c:pt>
                <c:pt idx="47">
                  <c:v>0.36302158055895406</c:v>
                </c:pt>
                <c:pt idx="48">
                  <c:v>0.36918609494878218</c:v>
                </c:pt>
                <c:pt idx="49">
                  <c:v>0.37526498983511014</c:v>
                </c:pt>
                <c:pt idx="50">
                  <c:v>0.38125855122443142</c:v>
                </c:pt>
                <c:pt idx="51">
                  <c:v>0.387167309873722</c:v>
                </c:pt>
                <c:pt idx="52">
                  <c:v>0.39299200759809383</c:v>
                </c:pt>
                <c:pt idx="53">
                  <c:v>0.39873356733973203</c:v>
                </c:pt>
                <c:pt idx="54">
                  <c:v>0.40439306659720864</c:v>
                </c:pt>
                <c:pt idx="55">
                  <c:v>0.40997171385644654</c:v>
                </c:pt>
                <c:pt idx="56">
                  <c:v>0.41547082770237975</c:v>
                </c:pt>
                <c:pt idx="57">
                  <c:v>0.42089181832418882</c:v>
                </c:pt>
                <c:pt idx="58">
                  <c:v>0.42623617115726253</c:v>
                </c:pt>
                <c:pt idx="59">
                  <c:v>0.43150543243215317</c:v>
                </c:pt>
                <c:pt idx="60">
                  <c:v>0.43670119642504696</c:v>
                </c:pt>
                <c:pt idx="61">
                  <c:v>0.44182509422599153</c:v>
                </c:pt>
                <c:pt idx="62">
                  <c:v>0.4468787838605438</c:v>
                </c:pt>
                <c:pt idx="63">
                  <c:v>0.45186394161790827</c:v>
                </c:pt>
                <c:pt idx="64">
                  <c:v>0.45678225445417153</c:v>
                </c:pt>
                <c:pt idx="65">
                  <c:v>0.46163541335319158</c:v>
                </c:pt>
                <c:pt idx="66">
                  <c:v>0.46642510754013006</c:v>
                </c:pt>
                <c:pt idx="67">
                  <c:v>0.47115301945378707</c:v>
                </c:pt>
                <c:pt idx="68">
                  <c:v>0.47582082039385559</c:v>
                </c:pt>
                <c:pt idx="69">
                  <c:v>0.48043016676814099</c:v>
                </c:pt>
                <c:pt idx="70">
                  <c:v>0.4849826968727794</c:v>
                </c:pt>
                <c:pt idx="71">
                  <c:v>0.48948002814561886</c:v>
                </c:pt>
                <c:pt idx="72">
                  <c:v>0.49392375483932827</c:v>
                </c:pt>
                <c:pt idx="73">
                  <c:v>0.49831544606650729</c:v>
                </c:pt>
                <c:pt idx="74">
                  <c:v>0.50265664417418188</c:v>
                </c:pt>
                <c:pt idx="75">
                  <c:v>0.50694886340964929</c:v>
                </c:pt>
                <c:pt idx="76">
                  <c:v>0.51119358884371813</c:v>
                </c:pt>
                <c:pt idx="77">
                  <c:v>0.51539227552105449</c:v>
                </c:pt>
                <c:pt idx="78">
                  <c:v>0.5195463478106096</c:v>
                </c:pt>
                <c:pt idx="79">
                  <c:v>0.52365719893203455</c:v>
                </c:pt>
                <c:pt idx="80">
                  <c:v>0.52772619063660087</c:v>
                </c:pt>
                <c:pt idx="81">
                  <c:v>0.53175465302348457</c:v>
                </c:pt>
                <c:pt idx="82">
                  <c:v>0.53574388447436394</c:v>
                </c:pt>
                <c:pt idx="83">
                  <c:v>0.5396951516911469</c:v>
                </c:pt>
                <c:pt idx="84">
                  <c:v>0.54360968982331714</c:v>
                </c:pt>
                <c:pt idx="85">
                  <c:v>0.5474887026728823</c:v>
                </c:pt>
                <c:pt idx="86">
                  <c:v>0.55133336296623625</c:v>
                </c:pt>
                <c:pt idx="87">
                  <c:v>0.55514481268344662</c:v>
                </c:pt>
                <c:pt idx="88">
                  <c:v>0.55892416343653872</c:v>
                </c:pt>
                <c:pt idx="89">
                  <c:v>0.56267249688930177</c:v>
                </c:pt>
                <c:pt idx="90">
                  <c:v>0.56639086521198945</c:v>
                </c:pt>
                <c:pt idx="91">
                  <c:v>0.5700802915650468</c:v>
                </c:pt>
                <c:pt idx="92">
                  <c:v>0.57374177060667775</c:v>
                </c:pt>
                <c:pt idx="93">
                  <c:v>0.57737626901966033</c:v>
                </c:pt>
                <c:pt idx="94">
                  <c:v>0.58098472605336882</c:v>
                </c:pt>
                <c:pt idx="95">
                  <c:v>0.58456805407743329</c:v>
                </c:pt>
                <c:pt idx="96">
                  <c:v>0.58812713914390369</c:v>
                </c:pt>
                <c:pt idx="97">
                  <c:v>0.59166284155516247</c:v>
                </c:pt>
                <c:pt idx="98">
                  <c:v>0.5951759964351685</c:v>
                </c:pt>
                <c:pt idx="99">
                  <c:v>0.59866741430193204</c:v>
                </c:pt>
                <c:pt idx="100">
                  <c:v>0.60213788163937265</c:v>
                </c:pt>
                <c:pt idx="101">
                  <c:v>0.60558816146696559</c:v>
                </c:pt>
                <c:pt idx="102">
                  <c:v>0.60901899390579117</c:v>
                </c:pt>
                <c:pt idx="103">
                  <c:v>0.6124310967397929</c:v>
                </c:pt>
                <c:pt idx="104">
                  <c:v>0.61582516597121617</c:v>
                </c:pt>
                <c:pt idx="105">
                  <c:v>0.61920187636936019</c:v>
                </c:pt>
                <c:pt idx="106">
                  <c:v>0.62256188201189033</c:v>
                </c:pt>
                <c:pt idx="107">
                  <c:v>0.62590581681809487</c:v>
                </c:pt>
                <c:pt idx="108">
                  <c:v>0.62923429507356388</c:v>
                </c:pt>
                <c:pt idx="109">
                  <c:v>0.63254791194586124</c:v>
                </c:pt>
                <c:pt idx="110">
                  <c:v>0.63584724399084902</c:v>
                </c:pt>
                <c:pt idx="111">
                  <c:v>0.63913284964938755</c:v>
                </c:pt>
                <c:pt idx="112">
                  <c:v>0.6424052697342002</c:v>
                </c:pt>
                <c:pt idx="113">
                  <c:v>0.64566502790675429</c:v>
                </c:pt>
                <c:pt idx="114">
                  <c:v>0.64891263114404729</c:v>
                </c:pt>
                <c:pt idx="115">
                  <c:v>0.65214857019524397</c:v>
                </c:pt>
                <c:pt idx="116">
                  <c:v>0.65537332002813053</c:v>
                </c:pt>
                <c:pt idx="117">
                  <c:v>0.65858734026540433</c:v>
                </c:pt>
                <c:pt idx="118">
                  <c:v>0.66179107561083217</c:v>
                </c:pt>
                <c:pt idx="119">
                  <c:v>0.66498495626533582</c:v>
                </c:pt>
                <c:pt idx="120">
                  <c:v>0.66816939833309674</c:v>
                </c:pt>
                <c:pt idx="121">
                  <c:v>0.67134480421777143</c:v>
                </c:pt>
                <c:pt idx="122">
                  <c:v>0.6745115630089441</c:v>
                </c:pt>
                <c:pt idx="123">
                  <c:v>0.67767005085894116</c:v>
                </c:pt>
                <c:pt idx="124">
                  <c:v>0.68082063135014892</c:v>
                </c:pt>
                <c:pt idx="125">
                  <c:v>0.68396365585299324</c:v>
                </c:pt>
                <c:pt idx="126">
                  <c:v>0.68709946387472842</c:v>
                </c:pt>
                <c:pt idx="127">
                  <c:v>0.69022838339920989</c:v>
                </c:pt>
                <c:pt idx="128">
                  <c:v>0.6933507312178151</c:v>
                </c:pt>
                <c:pt idx="129">
                  <c:v>0.69646681325169002</c:v>
                </c:pt>
                <c:pt idx="130">
                  <c:v>0.69957692486549172</c:v>
                </c:pt>
                <c:pt idx="131">
                  <c:v>0.70268135117281316</c:v>
                </c:pt>
                <c:pt idx="132">
                  <c:v>0.70578036733346328</c:v>
                </c:pt>
                <c:pt idx="133">
                  <c:v>0.70887423884278589</c:v>
                </c:pt>
                <c:pt idx="134">
                  <c:v>0.71196322181319449</c:v>
                </c:pt>
                <c:pt idx="135">
                  <c:v>0.71504756324810614</c:v>
                </c:pt>
                <c:pt idx="136">
                  <c:v>0.71812750130844838</c:v>
                </c:pt>
                <c:pt idx="137">
                  <c:v>0.72120326557191605</c:v>
                </c:pt>
                <c:pt idx="138">
                  <c:v>0.72427507728515994</c:v>
                </c:pt>
                <c:pt idx="139">
                  <c:v>0.72734314960906821</c:v>
                </c:pt>
                <c:pt idx="140">
                  <c:v>0.73040768785732257</c:v>
                </c:pt>
                <c:pt idx="141">
                  <c:v>0.73346888972838842</c:v>
                </c:pt>
                <c:pt idx="142">
                  <c:v>0.73652694553111364</c:v>
                </c:pt>
                <c:pt idx="143">
                  <c:v>0.73958203840408776</c:v>
                </c:pt>
                <c:pt idx="144">
                  <c:v>0.74263434452893173</c:v>
                </c:pt>
                <c:pt idx="145">
                  <c:v>0.7456840333376662</c:v>
                </c:pt>
                <c:pt idx="146">
                  <c:v>0.74873126771431997</c:v>
                </c:pt>
                <c:pt idx="147">
                  <c:v>0.75177620419092295</c:v>
                </c:pt>
                <c:pt idx="148">
                  <c:v>0.75481899313803347</c:v>
                </c:pt>
                <c:pt idx="149">
                  <c:v>0.75785977894994749</c:v>
                </c:pt>
                <c:pt idx="150">
                  <c:v>0.76089870022472172</c:v>
                </c:pt>
                <c:pt idx="151">
                  <c:v>0.76393588993916073</c:v>
                </c:pt>
                <c:pt idx="152">
                  <c:v>0.76697147561889267</c:v>
                </c:pt>
                <c:pt idx="153">
                  <c:v>0.77000557950367043</c:v>
                </c:pt>
                <c:pt idx="154">
                  <c:v>0.77303831870802608</c:v>
                </c:pt>
                <c:pt idx="155">
                  <c:v>0.77606980537740078</c:v>
                </c:pt>
                <c:pt idx="156">
                  <c:v>0.77910014683988027</c:v>
                </c:pt>
                <c:pt idx="157">
                  <c:v>0.78212944575364463</c:v>
                </c:pt>
                <c:pt idx="158">
                  <c:v>0.78515780025025783</c:v>
                </c:pt>
                <c:pt idx="159">
                  <c:v>0.78818530407390552</c:v>
                </c:pt>
                <c:pt idx="160">
                  <c:v>0.79121204671669298</c:v>
                </c:pt>
                <c:pt idx="161">
                  <c:v>0.7942381135501142</c:v>
                </c:pt>
                <c:pt idx="162">
                  <c:v>0.79726358595278723</c:v>
                </c:pt>
                <c:pt idx="163">
                  <c:v>0.80028854143457306</c:v>
                </c:pt>
                <c:pt idx="164">
                  <c:v>0.80331305375716389</c:v>
                </c:pt>
                <c:pt idx="165">
                  <c:v>0.80633719305124385</c:v>
                </c:pt>
                <c:pt idx="166">
                  <c:v>0.80936102593031889</c:v>
                </c:pt>
                <c:pt idx="167">
                  <c:v>0.81238461560130248</c:v>
                </c:pt>
                <c:pt idx="168">
                  <c:v>0.81540802197195084</c:v>
                </c:pt>
                <c:pt idx="169">
                  <c:v>0.81843130175523127</c:v>
                </c:pt>
                <c:pt idx="170">
                  <c:v>0.82145450857071189</c:v>
                </c:pt>
                <c:pt idx="171">
                  <c:v>0.82447769304305341</c:v>
                </c:pt>
                <c:pt idx="172">
                  <c:v>0.82750090289768452</c:v>
                </c:pt>
                <c:pt idx="173">
                  <c:v>0.83052418305373465</c:v>
                </c:pt>
                <c:pt idx="174">
                  <c:v>0.8335475757143076</c:v>
                </c:pt>
                <c:pt idx="175">
                  <c:v>0.83657112045416437</c:v>
                </c:pt>
                <c:pt idx="176">
                  <c:v>0.83959485430488889</c:v>
                </c:pt>
                <c:pt idx="177">
                  <c:v>0.84261881183760579</c:v>
                </c:pt>
                <c:pt idx="178">
                  <c:v>0.84564302524332058</c:v>
                </c:pt>
                <c:pt idx="179">
                  <c:v>0.84866752441094651</c:v>
                </c:pt>
                <c:pt idx="180">
                  <c:v>0.85169233700308289</c:v>
                </c:pt>
                <c:pt idx="181">
                  <c:v>0.85471748852960605</c:v>
                </c:pt>
                <c:pt idx="182">
                  <c:v>0.85774300241914059</c:v>
                </c:pt>
                <c:pt idx="183">
                  <c:v>0.86076890008845908</c:v>
                </c:pt>
                <c:pt idx="184">
                  <c:v>0.86379520100987939</c:v>
                </c:pt>
                <c:pt idx="185">
                  <c:v>0.86682192277670478</c:v>
                </c:pt>
                <c:pt idx="186">
                  <c:v>0.86984908116677273</c:v>
                </c:pt>
                <c:pt idx="187">
                  <c:v>0.87287669020415604</c:v>
                </c:pt>
                <c:pt idx="188">
                  <c:v>0.87590476221907143</c:v>
                </c:pt>
                <c:pt idx="189">
                  <c:v>0.87893330790604773</c:v>
                </c:pt>
                <c:pt idx="190">
                  <c:v>0.88196233638039845</c:v>
                </c:pt>
                <c:pt idx="191">
                  <c:v>0.88499185523305035</c:v>
                </c:pt>
                <c:pt idx="192">
                  <c:v>0.88802187058377002</c:v>
                </c:pt>
                <c:pt idx="193">
                  <c:v>0.8910523871328353</c:v>
                </c:pt>
                <c:pt idx="194">
                  <c:v>0.89408340821119625</c:v>
                </c:pt>
                <c:pt idx="195">
                  <c:v>0.89711493582916757</c:v>
                </c:pt>
                <c:pt idx="196">
                  <c:v>0.90014697072369054</c:v>
                </c:pt>
                <c:pt idx="197">
                  <c:v>0.90317951240420813</c:v>
                </c:pt>
                <c:pt idx="198">
                  <c:v>0.90621255919719268</c:v>
                </c:pt>
                <c:pt idx="199">
                  <c:v>0.90924610828936014</c:v>
                </c:pt>
                <c:pt idx="200">
                  <c:v>0.91228015576961297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65-4812-A7B0-598EBCE73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594936"/>
        <c:axId val="939595264"/>
      </c:scatterChart>
      <c:valAx>
        <c:axId val="93959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9595264"/>
        <c:crosses val="autoZero"/>
        <c:crossBetween val="midCat"/>
      </c:valAx>
      <c:valAx>
        <c:axId val="9395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959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応答係数!$B$2</c:f>
              <c:strCache>
                <c:ptCount val="1"/>
                <c:pt idx="0">
                  <c:v>貫流応答（単位）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応答係数!$B$3:$B$4003</c:f>
              <c:numCache>
                <c:formatCode>0.0000</c:formatCode>
                <c:ptCount val="4001"/>
                <c:pt idx="0">
                  <c:v>8.8699091041253286E-3</c:v>
                </c:pt>
                <c:pt idx="1">
                  <c:v>-5.5362492723365752E-3</c:v>
                </c:pt>
                <c:pt idx="2">
                  <c:v>-1.9931913023314303E-3</c:v>
                </c:pt>
                <c:pt idx="3">
                  <c:v>4.2519555600222759E-3</c:v>
                </c:pt>
                <c:pt idx="4">
                  <c:v>7.5742871770936486E-3</c:v>
                </c:pt>
                <c:pt idx="5">
                  <c:v>8.4537153961977488E-3</c:v>
                </c:pt>
                <c:pt idx="6">
                  <c:v>7.9036629208003445E-3</c:v>
                </c:pt>
                <c:pt idx="7">
                  <c:v>6.6739202071068003E-3</c:v>
                </c:pt>
                <c:pt idx="8">
                  <c:v>5.2396001928657863E-3</c:v>
                </c:pt>
                <c:pt idx="9">
                  <c:v>3.8828445582943117E-3</c:v>
                </c:pt>
                <c:pt idx="10">
                  <c:v>2.7609833192308599E-3</c:v>
                </c:pt>
                <c:pt idx="11">
                  <c:v>1.9529842010674321E-3</c:v>
                </c:pt>
                <c:pt idx="12">
                  <c:v>1.4896245835227203E-3</c:v>
                </c:pt>
                <c:pt idx="13">
                  <c:v>1.3727838251024946E-3</c:v>
                </c:pt>
                <c:pt idx="14">
                  <c:v>1.5876713217875314E-3</c:v>
                </c:pt>
                <c:pt idx="15">
                  <c:v>2.1105085915521385E-3</c:v>
                </c:pt>
                <c:pt idx="16">
                  <c:v>2.9132981451723428E-3</c:v>
                </c:pt>
                <c:pt idx="17">
                  <c:v>3.9667321522019435E-3</c:v>
                </c:pt>
                <c:pt idx="18">
                  <c:v>5.2419185588636046E-3</c:v>
                </c:pt>
                <c:pt idx="19">
                  <c:v>6.7113600811612821E-3</c:v>
                </c:pt>
                <c:pt idx="20">
                  <c:v>8.3494653532460578E-3</c:v>
                </c:pt>
                <c:pt idx="21">
                  <c:v>1.0132770932957643E-2</c:v>
                </c:pt>
                <c:pt idx="22">
                  <c:v>1.2039988128035925E-2</c:v>
                </c:pt>
                <c:pt idx="23">
                  <c:v>1.4051946976897199E-2</c:v>
                </c:pt>
                <c:pt idx="24">
                  <c:v>1.615148298372375E-2</c:v>
                </c:pt>
                <c:pt idx="25">
                  <c:v>1.8323295070995775E-2</c:v>
                </c:pt>
                <c:pt idx="26">
                  <c:v>2.0553792256556503E-2</c:v>
                </c:pt>
                <c:pt idx="27">
                  <c:v>2.2830939583461492E-2</c:v>
                </c:pt>
                <c:pt idx="28">
                  <c:v>2.514410940868363E-2</c:v>
                </c:pt>
                <c:pt idx="29">
                  <c:v>2.7483941375672491E-2</c:v>
                </c:pt>
                <c:pt idx="30">
                  <c:v>2.9842212665977114E-2</c:v>
                </c:pt>
                <c:pt idx="31">
                  <c:v>3.2211719066862987E-2</c:v>
                </c:pt>
                <c:pt idx="32">
                  <c:v>3.4586166760770913E-2</c:v>
                </c:pt>
                <c:pt idx="33">
                  <c:v>3.696007438158181E-2</c:v>
                </c:pt>
                <c:pt idx="34">
                  <c:v>3.9328684691237945E-2</c:v>
                </c:pt>
                <c:pt idx="35">
                  <c:v>4.1687885143854783E-2</c:v>
                </c:pt>
                <c:pt idx="36">
                  <c:v>4.403413658188305E-2</c:v>
                </c:pt>
                <c:pt idx="37">
                  <c:v>4.6364409324025066E-2</c:v>
                </c:pt>
                <c:pt idx="38">
                  <c:v>4.8676125940954995E-2</c:v>
                </c:pt>
                <c:pt idx="39">
                  <c:v>5.0967110062142836E-2</c:v>
                </c:pt>
                <c:pt idx="40">
                  <c:v>5.3235540608851557E-2</c:v>
                </c:pt>
                <c:pt idx="41">
                  <c:v>5.5479910900840632E-2</c:v>
                </c:pt>
                <c:pt idx="42">
                  <c:v>5.7698992135212381E-2</c:v>
                </c:pt>
                <c:pt idx="43">
                  <c:v>5.9891800783940477E-2</c:v>
                </c:pt>
                <c:pt idx="44">
                  <c:v>6.2057569501319985E-2</c:v>
                </c:pt>
                <c:pt idx="45">
                  <c:v>6.4195721173640335E-2</c:v>
                </c:pt>
                <c:pt idx="46">
                  <c:v>6.6305845780818634E-2</c:v>
                </c:pt>
                <c:pt idx="47">
                  <c:v>6.838767977367638E-2</c:v>
                </c:pt>
                <c:pt idx="48">
                  <c:v>7.0441087701203747E-2</c:v>
                </c:pt>
                <c:pt idx="49">
                  <c:v>7.246604584978264E-2</c:v>
                </c:pt>
                <c:pt idx="50">
                  <c:v>7.4462627681183724E-2</c:v>
                </c:pt>
                <c:pt idx="51">
                  <c:v>7.643099087845899E-2</c:v>
                </c:pt>
                <c:pt idx="52">
                  <c:v>7.8371365828867015E-2</c:v>
                </c:pt>
                <c:pt idx="53">
                  <c:v>8.0284045390910053E-2</c:v>
                </c:pt>
                <c:pt idx="54">
                  <c:v>8.216937580864056E-2</c:v>
                </c:pt>
                <c:pt idx="55">
                  <c:v>8.4027748650795819E-2</c:v>
                </c:pt>
                <c:pt idx="56">
                  <c:v>8.5859593665215256E-2</c:v>
                </c:pt>
                <c:pt idx="57">
                  <c:v>8.7665372450542844E-2</c:v>
                </c:pt>
                <c:pt idx="58">
                  <c:v>8.9445572857550004E-2</c:v>
                </c:pt>
                <c:pt idx="59">
                  <c:v>9.1200704041669273E-2</c:v>
                </c:pt>
                <c:pt idx="60">
                  <c:v>9.2931292096607165E-2</c:v>
                </c:pt>
                <c:pt idx="61">
                  <c:v>9.4637876206315807E-2</c:v>
                </c:pt>
                <c:pt idx="62">
                  <c:v>9.6321005259233899E-2</c:v>
                </c:pt>
                <c:pt idx="63">
                  <c:v>9.7981234874644593E-2</c:v>
                </c:pt>
                <c:pt idx="64">
                  <c:v>9.9619124796302971E-2</c:v>
                </c:pt>
                <c:pt idx="65">
                  <c:v>0.101235236613245</c:v>
                </c:pt>
                <c:pt idx="66">
                  <c:v>0.10283013177193322</c:v>
                </c:pt>
                <c:pt idx="67">
                  <c:v>0.10440436984770614</c:v>
                </c:pt>
                <c:pt idx="68">
                  <c:v>0.10595850704689687</c:v>
                </c:pt>
                <c:pt idx="69">
                  <c:v>0.1074930949140338</c:v>
                </c:pt>
                <c:pt idx="70">
                  <c:v>0.1090086792212612</c:v>
                </c:pt>
                <c:pt idx="71">
                  <c:v>0.11050579901955275</c:v>
                </c:pt>
                <c:pt idx="72">
                  <c:v>0.1119849858334739</c:v>
                </c:pt>
                <c:pt idx="73">
                  <c:v>0.1134467629831984</c:v>
                </c:pt>
                <c:pt idx="74">
                  <c:v>0.11489164501922769</c:v>
                </c:pt>
                <c:pt idx="75">
                  <c:v>0.11632013725682601</c:v>
                </c:pt>
                <c:pt idx="76">
                  <c:v>0.11773273539857508</c:v>
                </c:pt>
                <c:pt idx="77">
                  <c:v>0.11912992523470683</c:v>
                </c:pt>
                <c:pt idx="78">
                  <c:v>0.12051218241198161</c:v>
                </c:pt>
                <c:pt idx="79">
                  <c:v>0.12187997226288501</c:v>
                </c:pt>
                <c:pt idx="80">
                  <c:v>0.12323374968780443</c:v>
                </c:pt>
                <c:pt idx="81">
                  <c:v>0.12457395908364584</c:v>
                </c:pt>
                <c:pt idx="82">
                  <c:v>0.12590103431306704</c:v>
                </c:pt>
                <c:pt idx="83">
                  <c:v>0.12721539870913759</c:v>
                </c:pt>
                <c:pt idx="84">
                  <c:v>0.12851746511080989</c:v>
                </c:pt>
                <c:pt idx="85">
                  <c:v>0.12980763592509367</c:v>
                </c:pt>
                <c:pt idx="86">
                  <c:v>0.13108630321228104</c:v>
                </c:pt>
                <c:pt idx="87">
                  <c:v>0.13235384879097717</c:v>
                </c:pt>
                <c:pt idx="88">
                  <c:v>0.13361064436005585</c:v>
                </c:pt>
                <c:pt idx="89">
                  <c:v>0.13485705163498266</c:v>
                </c:pt>
                <c:pt idx="90">
                  <c:v>0.13609342249623904</c:v>
                </c:pt>
                <c:pt idx="91">
                  <c:v>0.13732009914783963</c:v>
                </c:pt>
                <c:pt idx="92">
                  <c:v>0.13853741428416724</c:v>
                </c:pt>
                <c:pt idx="93">
                  <c:v>0.13974569126355446</c:v>
                </c:pt>
                <c:pt idx="94">
                  <c:v>0.14094524428722649</c:v>
                </c:pt>
                <c:pt idx="95">
                  <c:v>0.14213637858238387</c:v>
                </c:pt>
                <c:pt idx="96">
                  <c:v>0.14331939058835033</c:v>
                </c:pt>
                <c:pt idx="97">
                  <c:v>0.14449456814484096</c:v>
                </c:pt>
                <c:pt idx="98">
                  <c:v>0.14566219068152203</c:v>
                </c:pt>
                <c:pt idx="99">
                  <c:v>0.14682252940814061</c:v>
                </c:pt>
                <c:pt idx="100">
                  <c:v>0.14797584750458992</c:v>
                </c:pt>
                <c:pt idx="101">
                  <c:v>0.14912240031036153</c:v>
                </c:pt>
                <c:pt idx="102">
                  <c:v>0.15026243551290855</c:v>
                </c:pt>
                <c:pt idx="103">
                  <c:v>0.15139619333450763</c:v>
                </c:pt>
                <c:pt idx="104">
                  <c:v>0.15252390671726607</c:v>
                </c:pt>
                <c:pt idx="105">
                  <c:v>0.15364580150597307</c:v>
                </c:pt>
                <c:pt idx="106">
                  <c:v>0.15476209662853649</c:v>
                </c:pt>
                <c:pt idx="107">
                  <c:v>0.15587300427378989</c:v>
                </c:pt>
                <c:pt idx="108">
                  <c:v>0.15697873006648955</c:v>
                </c:pt>
                <c:pt idx="109">
                  <c:v>0.1580794732393507</c:v>
                </c:pt>
                <c:pt idx="110">
                  <c:v>0.15917542680200461</c:v>
                </c:pt>
                <c:pt idx="111">
                  <c:v>0.16026677770677805</c:v>
                </c:pt>
                <c:pt idx="112">
                  <c:v>0.16135370701122154</c:v>
                </c:pt>
                <c:pt idx="113">
                  <c:v>0.16243639003733035</c:v>
                </c:pt>
                <c:pt idx="114">
                  <c:v>0.1635149965274213</c:v>
                </c:pt>
                <c:pt idx="115">
                  <c:v>0.16458969079663988</c:v>
                </c:pt>
                <c:pt idx="116">
                  <c:v>0.16566063188208699</c:v>
                </c:pt>
                <c:pt idx="117">
                  <c:v>0.16672797368856712</c:v>
                </c:pt>
                <c:pt idx="118">
                  <c:v>0.16779186513096661</c:v>
                </c:pt>
                <c:pt idx="119">
                  <c:v>0.16885245027328136</c:v>
                </c:pt>
                <c:pt idx="120">
                  <c:v>0.16990986846432077</c:v>
                </c:pt>
                <c:pt idx="121">
                  <c:v>0.17096425447011809</c:v>
                </c:pt>
                <c:pt idx="122">
                  <c:v>0.17201573860308836</c:v>
                </c:pt>
                <c:pt idx="123">
                  <c:v>0.17306444684797267</c:v>
                </c:pt>
                <c:pt idx="124">
                  <c:v>0.17411050098461758</c:v>
                </c:pt>
                <c:pt idx="125">
                  <c:v>0.17515401870763841</c:v>
                </c:pt>
                <c:pt idx="126">
                  <c:v>0.17619511374301794</c:v>
                </c:pt>
                <c:pt idx="127">
                  <c:v>0.17723389596169564</c:v>
                </c:pt>
                <c:pt idx="128">
                  <c:v>0.17827047149020325</c:v>
                </c:pt>
                <c:pt idx="129">
                  <c:v>0.17930494281840406</c:v>
                </c:pt>
                <c:pt idx="130">
                  <c:v>0.18033740890439412</c:v>
                </c:pt>
                <c:pt idx="131">
                  <c:v>0.18136796527662466</c:v>
                </c:pt>
                <c:pt idx="132">
                  <c:v>0.18239670413330561</c:v>
                </c:pt>
                <c:pt idx="133">
                  <c:v>0.1834237144391492</c:v>
                </c:pt>
                <c:pt idx="134">
                  <c:v>0.18444908201951393</c:v>
                </c:pt>
                <c:pt idx="135">
                  <c:v>0.18547288965200895</c:v>
                </c:pt>
                <c:pt idx="136">
                  <c:v>0.18649521715561643</c:v>
                </c:pt>
                <c:pt idx="137">
                  <c:v>0.18751614147739287</c:v>
                </c:pt>
                <c:pt idx="138">
                  <c:v>0.18853573677680646</c:v>
                </c:pt>
                <c:pt idx="139">
                  <c:v>0.18955407450776779</c:v>
                </c:pt>
                <c:pt idx="140">
                  <c:v>0.19057122349841182</c:v>
                </c:pt>
                <c:pt idx="141">
                  <c:v>0.19158725002868573</c:v>
                </c:pt>
                <c:pt idx="142">
                  <c:v>0.1926022179058002</c:v>
                </c:pt>
                <c:pt idx="143">
                  <c:v>0.19361618853759502</c:v>
                </c:pt>
                <c:pt idx="144">
                  <c:v>0.19462922100387561</c:v>
                </c:pt>
                <c:pt idx="145">
                  <c:v>0.19564137212577035</c:v>
                </c:pt>
                <c:pt idx="146">
                  <c:v>0.19665269653316172</c:v>
                </c:pt>
                <c:pt idx="147">
                  <c:v>0.19766324673024058</c:v>
                </c:pt>
                <c:pt idx="148">
                  <c:v>0.19867307315923258</c:v>
                </c:pt>
                <c:pt idx="149">
                  <c:v>0.19968222426234666</c:v>
                </c:pt>
                <c:pt idx="150">
                  <c:v>0.20069074654198985</c:v>
                </c:pt>
                <c:pt idx="151">
                  <c:v>0.20169868461929741</c:v>
                </c:pt>
                <c:pt idx="152">
                  <c:v>0.20270608129102122</c:v>
                </c:pt>
                <c:pt idx="153">
                  <c:v>0.20371297758482176</c:v>
                </c:pt>
                <c:pt idx="154">
                  <c:v>0.20471941281300565</c:v>
                </c:pt>
                <c:pt idx="155">
                  <c:v>0.20572542462475088</c:v>
                </c:pt>
                <c:pt idx="156">
                  <c:v>0.20673104905686204</c:v>
                </c:pt>
                <c:pt idx="157">
                  <c:v>0.20773632058309255</c:v>
                </c:pt>
                <c:pt idx="158">
                  <c:v>0.20874127216207555</c:v>
                </c:pt>
                <c:pt idx="159">
                  <c:v>0.20974593528389987</c:v>
                </c:pt>
                <c:pt idx="160">
                  <c:v>0.21075034001536844</c:v>
                </c:pt>
                <c:pt idx="161">
                  <c:v>0.21175451504397605</c:v>
                </c:pt>
                <c:pt idx="162">
                  <c:v>0.21275848772063868</c:v>
                </c:pt>
                <c:pt idx="163">
                  <c:v>0.21376228410121317</c:v>
                </c:pt>
                <c:pt idx="164">
                  <c:v>0.21476592898683583</c:v>
                </c:pt>
                <c:pt idx="165">
                  <c:v>0.21576944596311573</c:v>
                </c:pt>
                <c:pt idx="166">
                  <c:v>0.21677285743821256</c:v>
                </c:pt>
                <c:pt idx="167">
                  <c:v>0.21777618467983087</c:v>
                </c:pt>
                <c:pt idx="168">
                  <c:v>0.21877944785115952</c:v>
                </c:pt>
                <c:pt idx="169">
                  <c:v>0.2197826660457862</c:v>
                </c:pt>
                <c:pt idx="170">
                  <c:v>0.22078585732161524</c:v>
                </c:pt>
                <c:pt idx="171">
                  <c:v>0.22178903873381636</c:v>
                </c:pt>
                <c:pt idx="172">
                  <c:v>0.2227922263668316</c:v>
                </c:pt>
                <c:pt idx="173">
                  <c:v>0.22379543536546453</c:v>
                </c:pt>
                <c:pt idx="174">
                  <c:v>0.22479867996508066</c:v>
                </c:pt>
                <c:pt idx="175">
                  <c:v>0.22580197352094061</c:v>
                </c:pt>
                <c:pt idx="176">
                  <c:v>0.22680532853669216</c:v>
                </c:pt>
                <c:pt idx="177">
                  <c:v>0.22780875669204287</c:v>
                </c:pt>
                <c:pt idx="178">
                  <c:v>0.22881226886963801</c:v>
                </c:pt>
                <c:pt idx="179">
                  <c:v>0.22981587518116436</c:v>
                </c:pt>
                <c:pt idx="180">
                  <c:v>0.23081958499270197</c:v>
                </c:pt>
                <c:pt idx="181">
                  <c:v>0.23182340694934461</c:v>
                </c:pt>
                <c:pt idx="182">
                  <c:v>0.23282734899911101</c:v>
                </c:pt>
                <c:pt idx="183">
                  <c:v>0.23383141841616323</c:v>
                </c:pt>
                <c:pt idx="184">
                  <c:v>0.23483562182335507</c:v>
                </c:pt>
                <c:pt idx="185">
                  <c:v>0.2358399652141267</c:v>
                </c:pt>
                <c:pt idx="186">
                  <c:v>0.23684445397376522</c:v>
                </c:pt>
                <c:pt idx="187">
                  <c:v>0.23784909290004858</c:v>
                </c:pt>
                <c:pt idx="188">
                  <c:v>0.23885388622328932</c:v>
                </c:pt>
                <c:pt idx="189">
                  <c:v>0.2398588376257963</c:v>
                </c:pt>
                <c:pt idx="190">
                  <c:v>0.24086395026076887</c:v>
                </c:pt>
                <c:pt idx="191">
                  <c:v>0.24186922677064213</c:v>
                </c:pt>
                <c:pt idx="192">
                  <c:v>0.24287466930489512</c:v>
                </c:pt>
                <c:pt idx="193">
                  <c:v>0.24388027953733979</c:v>
                </c:pt>
                <c:pt idx="194">
                  <c:v>0.24488605868290436</c:v>
                </c:pt>
                <c:pt idx="195">
                  <c:v>0.24589200751392554</c:v>
                </c:pt>
                <c:pt idx="196">
                  <c:v>0.24689812637596195</c:v>
                </c:pt>
                <c:pt idx="197">
                  <c:v>0.2479044152031443</c:v>
                </c:pt>
                <c:pt idx="198">
                  <c:v>0.24891087353307445</c:v>
                </c:pt>
                <c:pt idx="199">
                  <c:v>0.24991750052128503</c:v>
                </c:pt>
                <c:pt idx="200">
                  <c:v>0.25092429495527424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A0-45A9-933E-269A94FB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869528"/>
        <c:axId val="908869856"/>
      </c:scatterChart>
      <c:valAx>
        <c:axId val="90886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8869856"/>
        <c:crosses val="autoZero"/>
        <c:crossBetween val="midCat"/>
      </c:valAx>
      <c:valAx>
        <c:axId val="90886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8869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応答係数!$B$2</c:f>
              <c:strCache>
                <c:ptCount val="1"/>
                <c:pt idx="0">
                  <c:v>貫流応答（単位）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応答係数!$B$3:$B$4003</c:f>
              <c:numCache>
                <c:formatCode>0.0000</c:formatCode>
                <c:ptCount val="4001"/>
                <c:pt idx="0">
                  <c:v>8.8699091041253286E-3</c:v>
                </c:pt>
                <c:pt idx="1">
                  <c:v>-5.5362492723365752E-3</c:v>
                </c:pt>
                <c:pt idx="2">
                  <c:v>-1.9931913023314303E-3</c:v>
                </c:pt>
                <c:pt idx="3">
                  <c:v>4.2519555600222759E-3</c:v>
                </c:pt>
                <c:pt idx="4">
                  <c:v>7.5742871770936486E-3</c:v>
                </c:pt>
                <c:pt idx="5">
                  <c:v>8.4537153961977488E-3</c:v>
                </c:pt>
                <c:pt idx="6">
                  <c:v>7.9036629208003445E-3</c:v>
                </c:pt>
                <c:pt idx="7">
                  <c:v>6.6739202071068003E-3</c:v>
                </c:pt>
                <c:pt idx="8">
                  <c:v>5.2396001928657863E-3</c:v>
                </c:pt>
                <c:pt idx="9">
                  <c:v>3.8828445582943117E-3</c:v>
                </c:pt>
                <c:pt idx="10">
                  <c:v>2.7609833192308599E-3</c:v>
                </c:pt>
                <c:pt idx="11">
                  <c:v>1.9529842010674321E-3</c:v>
                </c:pt>
                <c:pt idx="12">
                  <c:v>1.4896245835227203E-3</c:v>
                </c:pt>
                <c:pt idx="13">
                  <c:v>1.3727838251024946E-3</c:v>
                </c:pt>
                <c:pt idx="14">
                  <c:v>1.5876713217875314E-3</c:v>
                </c:pt>
                <c:pt idx="15">
                  <c:v>2.1105085915521385E-3</c:v>
                </c:pt>
                <c:pt idx="16">
                  <c:v>2.9132981451723428E-3</c:v>
                </c:pt>
                <c:pt idx="17">
                  <c:v>3.9667321522019435E-3</c:v>
                </c:pt>
                <c:pt idx="18">
                  <c:v>5.2419185588636046E-3</c:v>
                </c:pt>
                <c:pt idx="19">
                  <c:v>6.7113600811612821E-3</c:v>
                </c:pt>
                <c:pt idx="20">
                  <c:v>8.3494653532460578E-3</c:v>
                </c:pt>
                <c:pt idx="21">
                  <c:v>1.0132770932957643E-2</c:v>
                </c:pt>
                <c:pt idx="22">
                  <c:v>1.2039988128035925E-2</c:v>
                </c:pt>
                <c:pt idx="23">
                  <c:v>1.4051946976897199E-2</c:v>
                </c:pt>
                <c:pt idx="24">
                  <c:v>1.615148298372375E-2</c:v>
                </c:pt>
                <c:pt idx="25">
                  <c:v>1.8323295070995775E-2</c:v>
                </c:pt>
                <c:pt idx="26">
                  <c:v>2.0553792256556503E-2</c:v>
                </c:pt>
                <c:pt idx="27">
                  <c:v>2.2830939583461492E-2</c:v>
                </c:pt>
                <c:pt idx="28">
                  <c:v>2.514410940868363E-2</c:v>
                </c:pt>
                <c:pt idx="29">
                  <c:v>2.7483941375672491E-2</c:v>
                </c:pt>
                <c:pt idx="30">
                  <c:v>2.9842212665977114E-2</c:v>
                </c:pt>
                <c:pt idx="31">
                  <c:v>3.2211719066862987E-2</c:v>
                </c:pt>
                <c:pt idx="32">
                  <c:v>3.4586166760770913E-2</c:v>
                </c:pt>
                <c:pt idx="33">
                  <c:v>3.696007438158181E-2</c:v>
                </c:pt>
                <c:pt idx="34">
                  <c:v>3.9328684691237945E-2</c:v>
                </c:pt>
                <c:pt idx="35">
                  <c:v>4.1687885143854783E-2</c:v>
                </c:pt>
                <c:pt idx="36">
                  <c:v>4.403413658188305E-2</c:v>
                </c:pt>
                <c:pt idx="37">
                  <c:v>4.6364409324025066E-2</c:v>
                </c:pt>
                <c:pt idx="38">
                  <c:v>4.8676125940954995E-2</c:v>
                </c:pt>
                <c:pt idx="39">
                  <c:v>5.0967110062142836E-2</c:v>
                </c:pt>
                <c:pt idx="40">
                  <c:v>5.3235540608851557E-2</c:v>
                </c:pt>
                <c:pt idx="41">
                  <c:v>5.5479910900840632E-2</c:v>
                </c:pt>
                <c:pt idx="42">
                  <c:v>5.7698992135212381E-2</c:v>
                </c:pt>
                <c:pt idx="43">
                  <c:v>5.9891800783940477E-2</c:v>
                </c:pt>
                <c:pt idx="44">
                  <c:v>6.2057569501319985E-2</c:v>
                </c:pt>
                <c:pt idx="45">
                  <c:v>6.4195721173640335E-2</c:v>
                </c:pt>
                <c:pt idx="46">
                  <c:v>6.6305845780818634E-2</c:v>
                </c:pt>
                <c:pt idx="47">
                  <c:v>6.838767977367638E-2</c:v>
                </c:pt>
                <c:pt idx="48">
                  <c:v>7.0441087701203747E-2</c:v>
                </c:pt>
                <c:pt idx="49">
                  <c:v>7.246604584978264E-2</c:v>
                </c:pt>
                <c:pt idx="50">
                  <c:v>7.4462627681183724E-2</c:v>
                </c:pt>
                <c:pt idx="51">
                  <c:v>7.643099087845899E-2</c:v>
                </c:pt>
                <c:pt idx="52">
                  <c:v>7.8371365828867015E-2</c:v>
                </c:pt>
                <c:pt idx="53">
                  <c:v>8.0284045390910053E-2</c:v>
                </c:pt>
                <c:pt idx="54">
                  <c:v>8.216937580864056E-2</c:v>
                </c:pt>
                <c:pt idx="55">
                  <c:v>8.4027748650795819E-2</c:v>
                </c:pt>
                <c:pt idx="56">
                  <c:v>8.5859593665215256E-2</c:v>
                </c:pt>
                <c:pt idx="57">
                  <c:v>8.7665372450542844E-2</c:v>
                </c:pt>
                <c:pt idx="58">
                  <c:v>8.9445572857550004E-2</c:v>
                </c:pt>
                <c:pt idx="59">
                  <c:v>9.1200704041669273E-2</c:v>
                </c:pt>
                <c:pt idx="60">
                  <c:v>9.2931292096607165E-2</c:v>
                </c:pt>
                <c:pt idx="61">
                  <c:v>9.4637876206315807E-2</c:v>
                </c:pt>
                <c:pt idx="62">
                  <c:v>9.6321005259233899E-2</c:v>
                </c:pt>
                <c:pt idx="63">
                  <c:v>9.7981234874644593E-2</c:v>
                </c:pt>
                <c:pt idx="64">
                  <c:v>9.9619124796302971E-2</c:v>
                </c:pt>
                <c:pt idx="65">
                  <c:v>0.101235236613245</c:v>
                </c:pt>
                <c:pt idx="66">
                  <c:v>0.10283013177193322</c:v>
                </c:pt>
                <c:pt idx="67">
                  <c:v>0.10440436984770614</c:v>
                </c:pt>
                <c:pt idx="68">
                  <c:v>0.10595850704689687</c:v>
                </c:pt>
                <c:pt idx="69">
                  <c:v>0.1074930949140338</c:v>
                </c:pt>
                <c:pt idx="70">
                  <c:v>0.1090086792212612</c:v>
                </c:pt>
                <c:pt idx="71">
                  <c:v>0.11050579901955275</c:v>
                </c:pt>
                <c:pt idx="72">
                  <c:v>0.1119849858334739</c:v>
                </c:pt>
                <c:pt idx="73">
                  <c:v>0.1134467629831984</c:v>
                </c:pt>
                <c:pt idx="74">
                  <c:v>0.11489164501922769</c:v>
                </c:pt>
                <c:pt idx="75">
                  <c:v>0.11632013725682601</c:v>
                </c:pt>
                <c:pt idx="76">
                  <c:v>0.11773273539857508</c:v>
                </c:pt>
                <c:pt idx="77">
                  <c:v>0.11912992523470683</c:v>
                </c:pt>
                <c:pt idx="78">
                  <c:v>0.12051218241198161</c:v>
                </c:pt>
                <c:pt idx="79">
                  <c:v>0.12187997226288501</c:v>
                </c:pt>
                <c:pt idx="80">
                  <c:v>0.12323374968780443</c:v>
                </c:pt>
                <c:pt idx="81">
                  <c:v>0.12457395908364584</c:v>
                </c:pt>
                <c:pt idx="82">
                  <c:v>0.12590103431306704</c:v>
                </c:pt>
                <c:pt idx="83">
                  <c:v>0.12721539870913759</c:v>
                </c:pt>
                <c:pt idx="84">
                  <c:v>0.12851746511080989</c:v>
                </c:pt>
                <c:pt idx="85">
                  <c:v>0.12980763592509367</c:v>
                </c:pt>
                <c:pt idx="86">
                  <c:v>0.13108630321228104</c:v>
                </c:pt>
                <c:pt idx="87">
                  <c:v>0.13235384879097717</c:v>
                </c:pt>
                <c:pt idx="88">
                  <c:v>0.13361064436005585</c:v>
                </c:pt>
                <c:pt idx="89">
                  <c:v>0.13485705163498266</c:v>
                </c:pt>
                <c:pt idx="90">
                  <c:v>0.13609342249623904</c:v>
                </c:pt>
                <c:pt idx="91">
                  <c:v>0.13732009914783963</c:v>
                </c:pt>
                <c:pt idx="92">
                  <c:v>0.13853741428416724</c:v>
                </c:pt>
                <c:pt idx="93">
                  <c:v>0.13974569126355446</c:v>
                </c:pt>
                <c:pt idx="94">
                  <c:v>0.14094524428722649</c:v>
                </c:pt>
                <c:pt idx="95">
                  <c:v>0.14213637858238387</c:v>
                </c:pt>
                <c:pt idx="96">
                  <c:v>0.14331939058835033</c:v>
                </c:pt>
                <c:pt idx="97">
                  <c:v>0.14449456814484096</c:v>
                </c:pt>
                <c:pt idx="98">
                  <c:v>0.14566219068152203</c:v>
                </c:pt>
                <c:pt idx="99">
                  <c:v>0.14682252940814061</c:v>
                </c:pt>
                <c:pt idx="100">
                  <c:v>0.14797584750458992</c:v>
                </c:pt>
                <c:pt idx="101">
                  <c:v>0.14912240031036153</c:v>
                </c:pt>
                <c:pt idx="102">
                  <c:v>0.15026243551290855</c:v>
                </c:pt>
                <c:pt idx="103">
                  <c:v>0.15139619333450763</c:v>
                </c:pt>
                <c:pt idx="104">
                  <c:v>0.15252390671726607</c:v>
                </c:pt>
                <c:pt idx="105">
                  <c:v>0.15364580150597307</c:v>
                </c:pt>
                <c:pt idx="106">
                  <c:v>0.15476209662853649</c:v>
                </c:pt>
                <c:pt idx="107">
                  <c:v>0.15587300427378989</c:v>
                </c:pt>
                <c:pt idx="108">
                  <c:v>0.15697873006648955</c:v>
                </c:pt>
                <c:pt idx="109">
                  <c:v>0.1580794732393507</c:v>
                </c:pt>
                <c:pt idx="110">
                  <c:v>0.15917542680200461</c:v>
                </c:pt>
                <c:pt idx="111">
                  <c:v>0.16026677770677805</c:v>
                </c:pt>
                <c:pt idx="112">
                  <c:v>0.16135370701122154</c:v>
                </c:pt>
                <c:pt idx="113">
                  <c:v>0.16243639003733035</c:v>
                </c:pt>
                <c:pt idx="114">
                  <c:v>0.1635149965274213</c:v>
                </c:pt>
                <c:pt idx="115">
                  <c:v>0.16458969079663988</c:v>
                </c:pt>
                <c:pt idx="116">
                  <c:v>0.16566063188208699</c:v>
                </c:pt>
                <c:pt idx="117">
                  <c:v>0.16672797368856712</c:v>
                </c:pt>
                <c:pt idx="118">
                  <c:v>0.16779186513096661</c:v>
                </c:pt>
                <c:pt idx="119">
                  <c:v>0.16885245027328136</c:v>
                </c:pt>
                <c:pt idx="120">
                  <c:v>0.16990986846432077</c:v>
                </c:pt>
                <c:pt idx="121">
                  <c:v>0.17096425447011809</c:v>
                </c:pt>
                <c:pt idx="122">
                  <c:v>0.17201573860308836</c:v>
                </c:pt>
                <c:pt idx="123">
                  <c:v>0.17306444684797267</c:v>
                </c:pt>
                <c:pt idx="124">
                  <c:v>0.17411050098461758</c:v>
                </c:pt>
                <c:pt idx="125">
                  <c:v>0.17515401870763841</c:v>
                </c:pt>
                <c:pt idx="126">
                  <c:v>0.17619511374301794</c:v>
                </c:pt>
                <c:pt idx="127">
                  <c:v>0.17723389596169564</c:v>
                </c:pt>
                <c:pt idx="128">
                  <c:v>0.17827047149020325</c:v>
                </c:pt>
                <c:pt idx="129">
                  <c:v>0.17930494281840406</c:v>
                </c:pt>
                <c:pt idx="130">
                  <c:v>0.18033740890439412</c:v>
                </c:pt>
                <c:pt idx="131">
                  <c:v>0.18136796527662466</c:v>
                </c:pt>
                <c:pt idx="132">
                  <c:v>0.18239670413330561</c:v>
                </c:pt>
                <c:pt idx="133">
                  <c:v>0.1834237144391492</c:v>
                </c:pt>
                <c:pt idx="134">
                  <c:v>0.18444908201951393</c:v>
                </c:pt>
                <c:pt idx="135">
                  <c:v>0.18547288965200895</c:v>
                </c:pt>
                <c:pt idx="136">
                  <c:v>0.18649521715561643</c:v>
                </c:pt>
                <c:pt idx="137">
                  <c:v>0.18751614147739287</c:v>
                </c:pt>
                <c:pt idx="138">
                  <c:v>0.18853573677680646</c:v>
                </c:pt>
                <c:pt idx="139">
                  <c:v>0.18955407450776779</c:v>
                </c:pt>
                <c:pt idx="140">
                  <c:v>0.19057122349841182</c:v>
                </c:pt>
                <c:pt idx="141">
                  <c:v>0.19158725002868573</c:v>
                </c:pt>
                <c:pt idx="142">
                  <c:v>0.1926022179058002</c:v>
                </c:pt>
                <c:pt idx="143">
                  <c:v>0.19361618853759502</c:v>
                </c:pt>
                <c:pt idx="144">
                  <c:v>0.19462922100387561</c:v>
                </c:pt>
                <c:pt idx="145">
                  <c:v>0.19564137212577035</c:v>
                </c:pt>
                <c:pt idx="146">
                  <c:v>0.19665269653316172</c:v>
                </c:pt>
                <c:pt idx="147">
                  <c:v>0.19766324673024058</c:v>
                </c:pt>
                <c:pt idx="148">
                  <c:v>0.19867307315923258</c:v>
                </c:pt>
                <c:pt idx="149">
                  <c:v>0.19968222426234666</c:v>
                </c:pt>
                <c:pt idx="150">
                  <c:v>0.20069074654198985</c:v>
                </c:pt>
                <c:pt idx="151">
                  <c:v>0.20169868461929741</c:v>
                </c:pt>
                <c:pt idx="152">
                  <c:v>0.20270608129102122</c:v>
                </c:pt>
                <c:pt idx="153">
                  <c:v>0.20371297758482176</c:v>
                </c:pt>
                <c:pt idx="154">
                  <c:v>0.20471941281300565</c:v>
                </c:pt>
                <c:pt idx="155">
                  <c:v>0.20572542462475088</c:v>
                </c:pt>
                <c:pt idx="156">
                  <c:v>0.20673104905686204</c:v>
                </c:pt>
                <c:pt idx="157">
                  <c:v>0.20773632058309255</c:v>
                </c:pt>
                <c:pt idx="158">
                  <c:v>0.20874127216207555</c:v>
                </c:pt>
                <c:pt idx="159">
                  <c:v>0.20974593528389987</c:v>
                </c:pt>
                <c:pt idx="160">
                  <c:v>0.21075034001536844</c:v>
                </c:pt>
                <c:pt idx="161">
                  <c:v>0.21175451504397605</c:v>
                </c:pt>
                <c:pt idx="162">
                  <c:v>0.21275848772063868</c:v>
                </c:pt>
                <c:pt idx="163">
                  <c:v>0.21376228410121317</c:v>
                </c:pt>
                <c:pt idx="164">
                  <c:v>0.21476592898683583</c:v>
                </c:pt>
                <c:pt idx="165">
                  <c:v>0.21576944596311573</c:v>
                </c:pt>
                <c:pt idx="166">
                  <c:v>0.21677285743821256</c:v>
                </c:pt>
                <c:pt idx="167">
                  <c:v>0.21777618467983087</c:v>
                </c:pt>
                <c:pt idx="168">
                  <c:v>0.21877944785115952</c:v>
                </c:pt>
                <c:pt idx="169">
                  <c:v>0.2197826660457862</c:v>
                </c:pt>
                <c:pt idx="170">
                  <c:v>0.22078585732161524</c:v>
                </c:pt>
                <c:pt idx="171">
                  <c:v>0.22178903873381636</c:v>
                </c:pt>
                <c:pt idx="172">
                  <c:v>0.2227922263668316</c:v>
                </c:pt>
                <c:pt idx="173">
                  <c:v>0.22379543536546453</c:v>
                </c:pt>
                <c:pt idx="174">
                  <c:v>0.22479867996508066</c:v>
                </c:pt>
                <c:pt idx="175">
                  <c:v>0.22580197352094061</c:v>
                </c:pt>
                <c:pt idx="176">
                  <c:v>0.22680532853669216</c:v>
                </c:pt>
                <c:pt idx="177">
                  <c:v>0.22780875669204287</c:v>
                </c:pt>
                <c:pt idx="178">
                  <c:v>0.22881226886963801</c:v>
                </c:pt>
                <c:pt idx="179">
                  <c:v>0.22981587518116436</c:v>
                </c:pt>
                <c:pt idx="180">
                  <c:v>0.23081958499270197</c:v>
                </c:pt>
                <c:pt idx="181">
                  <c:v>0.23182340694934461</c:v>
                </c:pt>
                <c:pt idx="182">
                  <c:v>0.23282734899911101</c:v>
                </c:pt>
                <c:pt idx="183">
                  <c:v>0.23383141841616323</c:v>
                </c:pt>
                <c:pt idx="184">
                  <c:v>0.23483562182335507</c:v>
                </c:pt>
                <c:pt idx="185">
                  <c:v>0.2358399652141267</c:v>
                </c:pt>
                <c:pt idx="186">
                  <c:v>0.23684445397376522</c:v>
                </c:pt>
                <c:pt idx="187">
                  <c:v>0.23784909290004858</c:v>
                </c:pt>
                <c:pt idx="188">
                  <c:v>0.23885388622328932</c:v>
                </c:pt>
                <c:pt idx="189">
                  <c:v>0.2398588376257963</c:v>
                </c:pt>
                <c:pt idx="190">
                  <c:v>0.24086395026076887</c:v>
                </c:pt>
                <c:pt idx="191">
                  <c:v>0.24186922677064213</c:v>
                </c:pt>
                <c:pt idx="192">
                  <c:v>0.24287466930489512</c:v>
                </c:pt>
                <c:pt idx="193">
                  <c:v>0.24388027953733979</c:v>
                </c:pt>
                <c:pt idx="194">
                  <c:v>0.24488605868290436</c:v>
                </c:pt>
                <c:pt idx="195">
                  <c:v>0.24589200751392554</c:v>
                </c:pt>
                <c:pt idx="196">
                  <c:v>0.24689812637596195</c:v>
                </c:pt>
                <c:pt idx="197">
                  <c:v>0.2479044152031443</c:v>
                </c:pt>
                <c:pt idx="198">
                  <c:v>0.24891087353307445</c:v>
                </c:pt>
                <c:pt idx="199">
                  <c:v>0.24991750052128503</c:v>
                </c:pt>
                <c:pt idx="200">
                  <c:v>0.25092429495527424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A-4654-B215-C5C30C02BF59}"/>
            </c:ext>
          </c:extLst>
        </c:ser>
        <c:ser>
          <c:idx val="1"/>
          <c:order val="1"/>
          <c:tx>
            <c:strRef>
              <c:f>応答係数!$C$2</c:f>
              <c:strCache>
                <c:ptCount val="1"/>
                <c:pt idx="0">
                  <c:v>吸熱応答（単位）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応答係数!$C$3:$C$4003</c:f>
              <c:numCache>
                <c:formatCode>0.0000</c:formatCode>
                <c:ptCount val="4001"/>
                <c:pt idx="0">
                  <c:v>3.117612507258638E-2</c:v>
                </c:pt>
                <c:pt idx="1">
                  <c:v>7.4084912151638899E-2</c:v>
                </c:pt>
                <c:pt idx="2">
                  <c:v>0.11128766883542486</c:v>
                </c:pt>
                <c:pt idx="3">
                  <c:v>0.1431551364771553</c:v>
                </c:pt>
                <c:pt idx="4">
                  <c:v>0.16108262287748479</c:v>
                </c:pt>
                <c:pt idx="5">
                  <c:v>0.16894324030357796</c:v>
                </c:pt>
                <c:pt idx="6">
                  <c:v>0.17083540283059209</c:v>
                </c:pt>
                <c:pt idx="7">
                  <c:v>0.16960259448184839</c:v>
                </c:pt>
                <c:pt idx="8">
                  <c:v>0.16703963198231223</c:v>
                </c:pt>
                <c:pt idx="9">
                  <c:v>0.16423053107049376</c:v>
                </c:pt>
                <c:pt idx="10">
                  <c:v>0.16180191486016368</c:v>
                </c:pt>
                <c:pt idx="11">
                  <c:v>0.16009201708152648</c:v>
                </c:pt>
                <c:pt idx="12">
                  <c:v>0.1592600088821933</c:v>
                </c:pt>
                <c:pt idx="13">
                  <c:v>0.15935597030420978</c:v>
                </c:pt>
                <c:pt idx="14">
                  <c:v>0.16036538355442673</c:v>
                </c:pt>
                <c:pt idx="15">
                  <c:v>0.16223723051318445</c:v>
                </c:pt>
                <c:pt idx="16">
                  <c:v>0.16490157125116875</c:v>
                </c:pt>
                <c:pt idx="17">
                  <c:v>0.16828039277943571</c:v>
                </c:pt>
                <c:pt idx="18">
                  <c:v>0.17229416752772367</c:v>
                </c:pt>
                <c:pt idx="19">
                  <c:v>0.17686569020307905</c:v>
                </c:pt>
                <c:pt idx="20">
                  <c:v>0.18192220026871483</c:v>
                </c:pt>
                <c:pt idx="21">
                  <c:v>0.18739643554953495</c:v>
                </c:pt>
                <c:pt idx="22">
                  <c:v>0.19322702953368925</c:v>
                </c:pt>
                <c:pt idx="23">
                  <c:v>0.1993585150575653</c:v>
                </c:pt>
                <c:pt idx="24">
                  <c:v>0.20574110072469248</c:v>
                </c:pt>
                <c:pt idx="25">
                  <c:v>0.21233032458127571</c:v>
                </c:pt>
                <c:pt idx="26">
                  <c:v>0.21908664997424349</c:v>
                </c:pt>
                <c:pt idx="27">
                  <c:v>0.22597504323350179</c:v>
                </c:pt>
                <c:pt idx="28">
                  <c:v>0.2329645567427831</c:v>
                </c:pt>
                <c:pt idx="29">
                  <c:v>0.24002793080172263</c:v>
                </c:pt>
                <c:pt idx="30">
                  <c:v>0.24714122131459396</c:v>
                </c:pt>
                <c:pt idx="31">
                  <c:v>0.25428345640234351</c:v>
                </c:pt>
                <c:pt idx="32">
                  <c:v>0.26143632264480149</c:v>
                </c:pt>
                <c:pt idx="33">
                  <c:v>0.26858388025372315</c:v>
                </c:pt>
                <c:pt idx="34">
                  <c:v>0.2757123056914268</c:v>
                </c:pt>
                <c:pt idx="35">
                  <c:v>0.28280965985139944</c:v>
                </c:pt>
                <c:pt idx="36">
                  <c:v>0.28986567975744687</c:v>
                </c:pt>
                <c:pt idx="37">
                  <c:v>0.29687159172191141</c:v>
                </c:pt>
                <c:pt idx="38">
                  <c:v>0.30381994397101242</c:v>
                </c:pt>
                <c:pt idx="39">
                  <c:v>0.31070445685866799</c:v>
                </c:pt>
                <c:pt idx="40">
                  <c:v>0.31751988892564187</c:v>
                </c:pt>
                <c:pt idx="41">
                  <c:v>0.32426191720412401</c:v>
                </c:pt>
                <c:pt idx="42">
                  <c:v>0.33092703031027321</c:v>
                </c:pt>
                <c:pt idx="43">
                  <c:v>0.33751243300384809</c:v>
                </c:pt>
                <c:pt idx="44">
                  <c:v>0.34401596102223758</c:v>
                </c:pt>
                <c:pt idx="45">
                  <c:v>0.35043600511470802</c:v>
                </c:pt>
                <c:pt idx="46">
                  <c:v>0.35677144331122973</c:v>
                </c:pt>
                <c:pt idx="47">
                  <c:v>0.36302158055895406</c:v>
                </c:pt>
                <c:pt idx="48">
                  <c:v>0.36918609494878218</c:v>
                </c:pt>
                <c:pt idx="49">
                  <c:v>0.37526498983511014</c:v>
                </c:pt>
                <c:pt idx="50">
                  <c:v>0.38125855122443142</c:v>
                </c:pt>
                <c:pt idx="51">
                  <c:v>0.387167309873722</c:v>
                </c:pt>
                <c:pt idx="52">
                  <c:v>0.39299200759809383</c:v>
                </c:pt>
                <c:pt idx="53">
                  <c:v>0.39873356733973203</c:v>
                </c:pt>
                <c:pt idx="54">
                  <c:v>0.40439306659720864</c:v>
                </c:pt>
                <c:pt idx="55">
                  <c:v>0.40997171385644654</c:v>
                </c:pt>
                <c:pt idx="56">
                  <c:v>0.41547082770237975</c:v>
                </c:pt>
                <c:pt idx="57">
                  <c:v>0.42089181832418882</c:v>
                </c:pt>
                <c:pt idx="58">
                  <c:v>0.42623617115726253</c:v>
                </c:pt>
                <c:pt idx="59">
                  <c:v>0.43150543243215317</c:v>
                </c:pt>
                <c:pt idx="60">
                  <c:v>0.43670119642504696</c:v>
                </c:pt>
                <c:pt idx="61">
                  <c:v>0.44182509422599153</c:v>
                </c:pt>
                <c:pt idx="62">
                  <c:v>0.4468787838605438</c:v>
                </c:pt>
                <c:pt idx="63">
                  <c:v>0.45186394161790827</c:v>
                </c:pt>
                <c:pt idx="64">
                  <c:v>0.45678225445417153</c:v>
                </c:pt>
                <c:pt idx="65">
                  <c:v>0.46163541335319158</c:v>
                </c:pt>
                <c:pt idx="66">
                  <c:v>0.46642510754013006</c:v>
                </c:pt>
                <c:pt idx="67">
                  <c:v>0.47115301945378707</c:v>
                </c:pt>
                <c:pt idx="68">
                  <c:v>0.47582082039385559</c:v>
                </c:pt>
                <c:pt idx="69">
                  <c:v>0.48043016676814099</c:v>
                </c:pt>
                <c:pt idx="70">
                  <c:v>0.4849826968727794</c:v>
                </c:pt>
                <c:pt idx="71">
                  <c:v>0.48948002814561886</c:v>
                </c:pt>
                <c:pt idx="72">
                  <c:v>0.49392375483932827</c:v>
                </c:pt>
                <c:pt idx="73">
                  <c:v>0.49831544606650729</c:v>
                </c:pt>
                <c:pt idx="74">
                  <c:v>0.50265664417418188</c:v>
                </c:pt>
                <c:pt idx="75">
                  <c:v>0.50694886340964929</c:v>
                </c:pt>
                <c:pt idx="76">
                  <c:v>0.51119358884371813</c:v>
                </c:pt>
                <c:pt idx="77">
                  <c:v>0.51539227552105449</c:v>
                </c:pt>
                <c:pt idx="78">
                  <c:v>0.5195463478106096</c:v>
                </c:pt>
                <c:pt idx="79">
                  <c:v>0.52365719893203455</c:v>
                </c:pt>
                <c:pt idx="80">
                  <c:v>0.52772619063660087</c:v>
                </c:pt>
                <c:pt idx="81">
                  <c:v>0.53175465302348457</c:v>
                </c:pt>
                <c:pt idx="82">
                  <c:v>0.53574388447436394</c:v>
                </c:pt>
                <c:pt idx="83">
                  <c:v>0.5396951516911469</c:v>
                </c:pt>
                <c:pt idx="84">
                  <c:v>0.54360968982331714</c:v>
                </c:pt>
                <c:pt idx="85">
                  <c:v>0.5474887026728823</c:v>
                </c:pt>
                <c:pt idx="86">
                  <c:v>0.55133336296623625</c:v>
                </c:pt>
                <c:pt idx="87">
                  <c:v>0.55514481268344662</c:v>
                </c:pt>
                <c:pt idx="88">
                  <c:v>0.55892416343653872</c:v>
                </c:pt>
                <c:pt idx="89">
                  <c:v>0.56267249688930177</c:v>
                </c:pt>
                <c:pt idx="90">
                  <c:v>0.56639086521198945</c:v>
                </c:pt>
                <c:pt idx="91">
                  <c:v>0.5700802915650468</c:v>
                </c:pt>
                <c:pt idx="92">
                  <c:v>0.57374177060667775</c:v>
                </c:pt>
                <c:pt idx="93">
                  <c:v>0.57737626901966033</c:v>
                </c:pt>
                <c:pt idx="94">
                  <c:v>0.58098472605336882</c:v>
                </c:pt>
                <c:pt idx="95">
                  <c:v>0.58456805407743329</c:v>
                </c:pt>
                <c:pt idx="96">
                  <c:v>0.58812713914390369</c:v>
                </c:pt>
                <c:pt idx="97">
                  <c:v>0.59166284155516247</c:v>
                </c:pt>
                <c:pt idx="98">
                  <c:v>0.5951759964351685</c:v>
                </c:pt>
                <c:pt idx="99">
                  <c:v>0.59866741430193204</c:v>
                </c:pt>
                <c:pt idx="100">
                  <c:v>0.60213788163937265</c:v>
                </c:pt>
                <c:pt idx="101">
                  <c:v>0.60558816146696559</c:v>
                </c:pt>
                <c:pt idx="102">
                  <c:v>0.60901899390579117</c:v>
                </c:pt>
                <c:pt idx="103">
                  <c:v>0.6124310967397929</c:v>
                </c:pt>
                <c:pt idx="104">
                  <c:v>0.61582516597121617</c:v>
                </c:pt>
                <c:pt idx="105">
                  <c:v>0.61920187636936019</c:v>
                </c:pt>
                <c:pt idx="106">
                  <c:v>0.62256188201189033</c:v>
                </c:pt>
                <c:pt idx="107">
                  <c:v>0.62590581681809487</c:v>
                </c:pt>
                <c:pt idx="108">
                  <c:v>0.62923429507356388</c:v>
                </c:pt>
                <c:pt idx="109">
                  <c:v>0.63254791194586124</c:v>
                </c:pt>
                <c:pt idx="110">
                  <c:v>0.63584724399084902</c:v>
                </c:pt>
                <c:pt idx="111">
                  <c:v>0.63913284964938755</c:v>
                </c:pt>
                <c:pt idx="112">
                  <c:v>0.6424052697342002</c:v>
                </c:pt>
                <c:pt idx="113">
                  <c:v>0.64566502790675429</c:v>
                </c:pt>
                <c:pt idx="114">
                  <c:v>0.64891263114404729</c:v>
                </c:pt>
                <c:pt idx="115">
                  <c:v>0.65214857019524397</c:v>
                </c:pt>
                <c:pt idx="116">
                  <c:v>0.65537332002813053</c:v>
                </c:pt>
                <c:pt idx="117">
                  <c:v>0.65858734026540433</c:v>
                </c:pt>
                <c:pt idx="118">
                  <c:v>0.66179107561083217</c:v>
                </c:pt>
                <c:pt idx="119">
                  <c:v>0.66498495626533582</c:v>
                </c:pt>
                <c:pt idx="120">
                  <c:v>0.66816939833309674</c:v>
                </c:pt>
                <c:pt idx="121">
                  <c:v>0.67134480421777143</c:v>
                </c:pt>
                <c:pt idx="122">
                  <c:v>0.6745115630089441</c:v>
                </c:pt>
                <c:pt idx="123">
                  <c:v>0.67767005085894116</c:v>
                </c:pt>
                <c:pt idx="124">
                  <c:v>0.68082063135014892</c:v>
                </c:pt>
                <c:pt idx="125">
                  <c:v>0.68396365585299324</c:v>
                </c:pt>
                <c:pt idx="126">
                  <c:v>0.68709946387472842</c:v>
                </c:pt>
                <c:pt idx="127">
                  <c:v>0.69022838339920989</c:v>
                </c:pt>
                <c:pt idx="128">
                  <c:v>0.6933507312178151</c:v>
                </c:pt>
                <c:pt idx="129">
                  <c:v>0.69646681325169002</c:v>
                </c:pt>
                <c:pt idx="130">
                  <c:v>0.69957692486549172</c:v>
                </c:pt>
                <c:pt idx="131">
                  <c:v>0.70268135117281316</c:v>
                </c:pt>
                <c:pt idx="132">
                  <c:v>0.70578036733346328</c:v>
                </c:pt>
                <c:pt idx="133">
                  <c:v>0.70887423884278589</c:v>
                </c:pt>
                <c:pt idx="134">
                  <c:v>0.71196322181319449</c:v>
                </c:pt>
                <c:pt idx="135">
                  <c:v>0.71504756324810614</c:v>
                </c:pt>
                <c:pt idx="136">
                  <c:v>0.71812750130844838</c:v>
                </c:pt>
                <c:pt idx="137">
                  <c:v>0.72120326557191605</c:v>
                </c:pt>
                <c:pt idx="138">
                  <c:v>0.72427507728515994</c:v>
                </c:pt>
                <c:pt idx="139">
                  <c:v>0.72734314960906821</c:v>
                </c:pt>
                <c:pt idx="140">
                  <c:v>0.73040768785732257</c:v>
                </c:pt>
                <c:pt idx="141">
                  <c:v>0.73346888972838842</c:v>
                </c:pt>
                <c:pt idx="142">
                  <c:v>0.73652694553111364</c:v>
                </c:pt>
                <c:pt idx="143">
                  <c:v>0.73958203840408776</c:v>
                </c:pt>
                <c:pt idx="144">
                  <c:v>0.74263434452893173</c:v>
                </c:pt>
                <c:pt idx="145">
                  <c:v>0.7456840333376662</c:v>
                </c:pt>
                <c:pt idx="146">
                  <c:v>0.74873126771431997</c:v>
                </c:pt>
                <c:pt idx="147">
                  <c:v>0.75177620419092295</c:v>
                </c:pt>
                <c:pt idx="148">
                  <c:v>0.75481899313803347</c:v>
                </c:pt>
                <c:pt idx="149">
                  <c:v>0.75785977894994749</c:v>
                </c:pt>
                <c:pt idx="150">
                  <c:v>0.76089870022472172</c:v>
                </c:pt>
                <c:pt idx="151">
                  <c:v>0.76393588993916073</c:v>
                </c:pt>
                <c:pt idx="152">
                  <c:v>0.76697147561889267</c:v>
                </c:pt>
                <c:pt idx="153">
                  <c:v>0.77000557950367043</c:v>
                </c:pt>
                <c:pt idx="154">
                  <c:v>0.77303831870802608</c:v>
                </c:pt>
                <c:pt idx="155">
                  <c:v>0.77606980537740078</c:v>
                </c:pt>
                <c:pt idx="156">
                  <c:v>0.77910014683988027</c:v>
                </c:pt>
                <c:pt idx="157">
                  <c:v>0.78212944575364463</c:v>
                </c:pt>
                <c:pt idx="158">
                  <c:v>0.78515780025025783</c:v>
                </c:pt>
                <c:pt idx="159">
                  <c:v>0.78818530407390552</c:v>
                </c:pt>
                <c:pt idx="160">
                  <c:v>0.79121204671669298</c:v>
                </c:pt>
                <c:pt idx="161">
                  <c:v>0.7942381135501142</c:v>
                </c:pt>
                <c:pt idx="162">
                  <c:v>0.79726358595278723</c:v>
                </c:pt>
                <c:pt idx="163">
                  <c:v>0.80028854143457306</c:v>
                </c:pt>
                <c:pt idx="164">
                  <c:v>0.80331305375716389</c:v>
                </c:pt>
                <c:pt idx="165">
                  <c:v>0.80633719305124385</c:v>
                </c:pt>
                <c:pt idx="166">
                  <c:v>0.80936102593031889</c:v>
                </c:pt>
                <c:pt idx="167">
                  <c:v>0.81238461560130248</c:v>
                </c:pt>
                <c:pt idx="168">
                  <c:v>0.81540802197195084</c:v>
                </c:pt>
                <c:pt idx="169">
                  <c:v>0.81843130175523127</c:v>
                </c:pt>
                <c:pt idx="170">
                  <c:v>0.82145450857071189</c:v>
                </c:pt>
                <c:pt idx="171">
                  <c:v>0.82447769304305341</c:v>
                </c:pt>
                <c:pt idx="172">
                  <c:v>0.82750090289768452</c:v>
                </c:pt>
                <c:pt idx="173">
                  <c:v>0.83052418305373465</c:v>
                </c:pt>
                <c:pt idx="174">
                  <c:v>0.8335475757143076</c:v>
                </c:pt>
                <c:pt idx="175">
                  <c:v>0.83657112045416437</c:v>
                </c:pt>
                <c:pt idx="176">
                  <c:v>0.83959485430488889</c:v>
                </c:pt>
                <c:pt idx="177">
                  <c:v>0.84261881183760579</c:v>
                </c:pt>
                <c:pt idx="178">
                  <c:v>0.84564302524332058</c:v>
                </c:pt>
                <c:pt idx="179">
                  <c:v>0.84866752441094651</c:v>
                </c:pt>
                <c:pt idx="180">
                  <c:v>0.85169233700308289</c:v>
                </c:pt>
                <c:pt idx="181">
                  <c:v>0.85471748852960605</c:v>
                </c:pt>
                <c:pt idx="182">
                  <c:v>0.85774300241914059</c:v>
                </c:pt>
                <c:pt idx="183">
                  <c:v>0.86076890008845908</c:v>
                </c:pt>
                <c:pt idx="184">
                  <c:v>0.86379520100987939</c:v>
                </c:pt>
                <c:pt idx="185">
                  <c:v>0.86682192277670478</c:v>
                </c:pt>
                <c:pt idx="186">
                  <c:v>0.86984908116677273</c:v>
                </c:pt>
                <c:pt idx="187">
                  <c:v>0.87287669020415604</c:v>
                </c:pt>
                <c:pt idx="188">
                  <c:v>0.87590476221907143</c:v>
                </c:pt>
                <c:pt idx="189">
                  <c:v>0.87893330790604773</c:v>
                </c:pt>
                <c:pt idx="190">
                  <c:v>0.88196233638039845</c:v>
                </c:pt>
                <c:pt idx="191">
                  <c:v>0.88499185523305035</c:v>
                </c:pt>
                <c:pt idx="192">
                  <c:v>0.88802187058377002</c:v>
                </c:pt>
                <c:pt idx="193">
                  <c:v>0.8910523871328353</c:v>
                </c:pt>
                <c:pt idx="194">
                  <c:v>0.89408340821119625</c:v>
                </c:pt>
                <c:pt idx="195">
                  <c:v>0.89711493582916757</c:v>
                </c:pt>
                <c:pt idx="196">
                  <c:v>0.90014697072369054</c:v>
                </c:pt>
                <c:pt idx="197">
                  <c:v>0.90317951240420813</c:v>
                </c:pt>
                <c:pt idx="198">
                  <c:v>0.90621255919719268</c:v>
                </c:pt>
                <c:pt idx="199">
                  <c:v>0.90924610828936014</c:v>
                </c:pt>
                <c:pt idx="200">
                  <c:v>0.91228015576961297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応答係数!$E$2</c:f>
              <c:strCache>
                <c:ptCount val="1"/>
                <c:pt idx="0">
                  <c:v>吸熱応答（二等辺三角）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応答係数!$E$3:$E$4003</c:f>
              <c:numCache>
                <c:formatCode>0.0000</c:formatCode>
                <c:ptCount val="4001"/>
                <c:pt idx="0">
                  <c:v>5.8243430169735634E-2</c:v>
                </c:pt>
                <c:pt idx="1">
                  <c:v>3.3487575873588228E-2</c:v>
                </c:pt>
                <c:pt idx="2">
                  <c:v>3.6692496216248698E-2</c:v>
                </c:pt>
                <c:pt idx="3">
                  <c:v>2.4729915217988997E-2</c:v>
                </c:pt>
                <c:pt idx="4">
                  <c:v>1.250938101733314E-2</c:v>
                </c:pt>
                <c:pt idx="5">
                  <c:v>4.5866211153554187E-3</c:v>
                </c:pt>
                <c:pt idx="6">
                  <c:v>1.4197313717481598E-4</c:v>
                </c:pt>
                <c:pt idx="7">
                  <c:v>-2.0132197851873957E-3</c:v>
                </c:pt>
                <c:pt idx="8">
                  <c:v>-2.754159293287406E-3</c:v>
                </c:pt>
                <c:pt idx="9">
                  <c:v>-2.6570101503521045E-3</c:v>
                </c:pt>
                <c:pt idx="10">
                  <c:v>-2.0886656159213382E-3</c:v>
                </c:pt>
                <c:pt idx="11">
                  <c:v>-1.2788324020278053E-3</c:v>
                </c:pt>
                <c:pt idx="12">
                  <c:v>-3.689733313322593E-4</c:v>
                </c:pt>
                <c:pt idx="13">
                  <c:v>5.5575226800958736E-4</c:v>
                </c:pt>
                <c:pt idx="14">
                  <c:v>1.4458777426708436E-3</c:v>
                </c:pt>
                <c:pt idx="15">
                  <c:v>2.2743854562117293E-3</c:v>
                </c:pt>
                <c:pt idx="16">
                  <c:v>3.0282208323385356E-3</c:v>
                </c:pt>
                <c:pt idx="17">
                  <c:v>3.7028716954932393E-3</c:v>
                </c:pt>
                <c:pt idx="18">
                  <c:v>4.298919948906639E-3</c:v>
                </c:pt>
                <c:pt idx="19">
                  <c:v>4.8198607122446726E-3</c:v>
                </c:pt>
                <c:pt idx="20">
                  <c:v>5.2707346164978545E-3</c:v>
                </c:pt>
                <c:pt idx="21">
                  <c:v>5.6572806135173678E-3</c:v>
                </c:pt>
                <c:pt idx="22">
                  <c:v>5.9854209183838759E-3</c:v>
                </c:pt>
                <c:pt idx="23">
                  <c:v>6.2609569283334065E-3</c:v>
                </c:pt>
                <c:pt idx="24">
                  <c:v>6.4893982957515929E-3</c:v>
                </c:pt>
                <c:pt idx="25">
                  <c:v>6.6758752554862489E-3</c:v>
                </c:pt>
                <c:pt idx="26">
                  <c:v>6.825102289947667E-3</c:v>
                </c:pt>
                <c:pt idx="27">
                  <c:v>6.9413727890637157E-3</c:v>
                </c:pt>
                <c:pt idx="28">
                  <c:v>7.0285718032942453E-3</c:v>
                </c:pt>
                <c:pt idx="29">
                  <c:v>7.0901987655061192E-3</c:v>
                </c:pt>
                <c:pt idx="30">
                  <c:v>7.1293951190358274E-3</c:v>
                </c:pt>
                <c:pt idx="31">
                  <c:v>7.148973745776355E-3</c:v>
                </c:pt>
                <c:pt idx="32">
                  <c:v>7.1514483336453201E-3</c:v>
                </c:pt>
                <c:pt idx="33">
                  <c:v>7.1390616113432915E-3</c:v>
                </c:pt>
                <c:pt idx="34">
                  <c:v>7.1138118736057002E-3</c:v>
                </c:pt>
                <c:pt idx="35">
                  <c:v>7.0774775276503136E-3</c:v>
                </c:pt>
                <c:pt idx="36">
                  <c:v>7.0316395791206326E-3</c:v>
                </c:pt>
                <c:pt idx="37">
                  <c:v>6.977702087197747E-3</c:v>
                </c:pt>
                <c:pt idx="38">
                  <c:v>6.9169106817586739E-3</c:v>
                </c:pt>
                <c:pt idx="39">
                  <c:v>6.8503692684957554E-3</c:v>
                </c:pt>
                <c:pt idx="40">
                  <c:v>6.7790550622963061E-3</c:v>
                </c:pt>
                <c:pt idx="41">
                  <c:v>6.7038320922593883E-3</c:v>
                </c:pt>
                <c:pt idx="42">
                  <c:v>6.6254633181607155E-3</c:v>
                </c:pt>
                <c:pt idx="43">
                  <c:v>6.5446214909070507E-3</c:v>
                </c:pt>
                <c:pt idx="44">
                  <c:v>6.4618988803839383E-3</c:v>
                </c:pt>
                <c:pt idx="45">
                  <c:v>6.3778159842249995E-3</c:v>
                </c:pt>
                <c:pt idx="46">
                  <c:v>6.2928293210969309E-3</c:v>
                </c:pt>
                <c:pt idx="47">
                  <c:v>6.2073384024968394E-3</c:v>
                </c:pt>
                <c:pt idx="48">
                  <c:v>6.1216919680127857E-3</c:v>
                </c:pt>
                <c:pt idx="49">
                  <c:v>6.0361935606083415E-3</c:v>
                </c:pt>
                <c:pt idx="50">
                  <c:v>5.9511065107932222E-3</c:v>
                </c:pt>
                <c:pt idx="51">
                  <c:v>5.8666583915291922E-3</c:v>
                </c:pt>
                <c:pt idx="52">
                  <c:v>5.7830449993650761E-3</c:v>
                </c:pt>
                <c:pt idx="53">
                  <c:v>5.7004339115558208E-3</c:v>
                </c:pt>
                <c:pt idx="54">
                  <c:v>5.6189676637513168E-3</c:v>
                </c:pt>
                <c:pt idx="55">
                  <c:v>5.5387665881932681E-3</c:v>
                </c:pt>
                <c:pt idx="56">
                  <c:v>5.4599313481852674E-3</c:v>
                </c:pt>
                <c:pt idx="57">
                  <c:v>5.3825452008575752E-3</c:v>
                </c:pt>
                <c:pt idx="58">
                  <c:v>5.3066760168919338E-3</c:v>
                </c:pt>
                <c:pt idx="59">
                  <c:v>5.2323780828644325E-3</c:v>
                </c:pt>
                <c:pt idx="60">
                  <c:v>5.1596937091705364E-3</c:v>
                </c:pt>
                <c:pt idx="61">
                  <c:v>5.0886546640840549E-3</c:v>
                </c:pt>
                <c:pt idx="62">
                  <c:v>5.0192834523417086E-3</c:v>
                </c:pt>
                <c:pt idx="63">
                  <c:v>4.9515944547113564E-3</c:v>
                </c:pt>
                <c:pt idx="64">
                  <c:v>4.8855949432707706E-3</c:v>
                </c:pt>
                <c:pt idx="65">
                  <c:v>4.8212859855745471E-3</c:v>
                </c:pt>
                <c:pt idx="66">
                  <c:v>4.7586632494998208E-3</c:v>
                </c:pt>
                <c:pt idx="67">
                  <c:v>4.6977177193203313E-3</c:v>
                </c:pt>
                <c:pt idx="68">
                  <c:v>4.6384363324473979E-3</c:v>
                </c:pt>
                <c:pt idx="69">
                  <c:v>4.5808025452822639E-3</c:v>
                </c:pt>
                <c:pt idx="70">
                  <c:v>4.5247968357344783E-3</c:v>
                </c:pt>
                <c:pt idx="71">
                  <c:v>4.4703971491646894E-3</c:v>
                </c:pt>
                <c:pt idx="72">
                  <c:v>4.4175792937977375E-3</c:v>
                </c:pt>
                <c:pt idx="73">
                  <c:v>4.366317291014144E-3</c:v>
                </c:pt>
                <c:pt idx="74">
                  <c:v>4.3165836853574563E-3</c:v>
                </c:pt>
                <c:pt idx="75">
                  <c:v>4.2683498185843091E-3</c:v>
                </c:pt>
                <c:pt idx="76">
                  <c:v>4.221586071626952E-3</c:v>
                </c:pt>
                <c:pt idx="77">
                  <c:v>4.1762620779292143E-3</c:v>
                </c:pt>
                <c:pt idx="78">
                  <c:v>4.1323469112508355E-3</c:v>
                </c:pt>
                <c:pt idx="79">
                  <c:v>4.0898092507077408E-3</c:v>
                </c:pt>
                <c:pt idx="80">
                  <c:v>4.0486175255228215E-3</c:v>
                </c:pt>
                <c:pt idx="81">
                  <c:v>4.0087400416996275E-3</c:v>
                </c:pt>
                <c:pt idx="82">
                  <c:v>3.9701450925968438E-3</c:v>
                </c:pt>
                <c:pt idx="83">
                  <c:v>3.9328010551714903E-3</c:v>
                </c:pt>
                <c:pt idx="84">
                  <c:v>3.8966764734710601E-3</c:v>
                </c:pt>
                <c:pt idx="85">
                  <c:v>3.8617401307867913E-3</c:v>
                </c:pt>
                <c:pt idx="86">
                  <c:v>3.8279611117299473E-3</c:v>
                </c:pt>
                <c:pt idx="87">
                  <c:v>3.795308855358526E-3</c:v>
                </c:pt>
                <c:pt idx="88">
                  <c:v>3.7637532003615345E-3</c:v>
                </c:pt>
                <c:pt idx="89">
                  <c:v>3.7332644232003207E-3</c:v>
                </c:pt>
                <c:pt idx="90">
                  <c:v>3.7038132700102306E-3</c:v>
                </c:pt>
                <c:pt idx="91">
                  <c:v>3.6753709829797322E-3</c:v>
                </c:pt>
                <c:pt idx="92">
                  <c:v>3.6479093218471283E-3</c:v>
                </c:pt>
                <c:pt idx="93">
                  <c:v>3.6214005810861257E-3</c:v>
                </c:pt>
                <c:pt idx="94">
                  <c:v>3.5958176032899122E-3</c:v>
                </c:pt>
                <c:pt idx="95">
                  <c:v>3.5711337892082684E-3</c:v>
                </c:pt>
                <c:pt idx="96">
                  <c:v>3.5473231048430654E-3</c:v>
                </c:pt>
                <c:pt idx="97">
                  <c:v>3.5243600859633374E-3</c:v>
                </c:pt>
                <c:pt idx="98">
                  <c:v>3.5022198403618587E-3</c:v>
                </c:pt>
                <c:pt idx="99">
                  <c:v>3.4808780481398356E-3</c:v>
                </c:pt>
                <c:pt idx="100">
                  <c:v>3.4603109602749566E-3</c:v>
                </c:pt>
                <c:pt idx="101">
                  <c:v>3.4404953956998119E-3</c:v>
                </c:pt>
                <c:pt idx="102">
                  <c:v>3.4214087370926629E-3</c:v>
                </c:pt>
                <c:pt idx="103">
                  <c:v>3.403028925559977E-3</c:v>
                </c:pt>
                <c:pt idx="104">
                  <c:v>3.3853344543701633E-3</c:v>
                </c:pt>
                <c:pt idx="105">
                  <c:v>3.368304361879943E-3</c:v>
                </c:pt>
                <c:pt idx="106">
                  <c:v>3.3519182237788333E-3</c:v>
                </c:pt>
                <c:pt idx="107">
                  <c:v>3.3361561447628821E-3</c:v>
                </c:pt>
                <c:pt idx="108">
                  <c:v>3.3209987497360492E-3</c:v>
                </c:pt>
                <c:pt idx="109">
                  <c:v>3.3064271746262226E-3</c:v>
                </c:pt>
                <c:pt idx="110">
                  <c:v>3.2924230568926907E-3</c:v>
                </c:pt>
                <c:pt idx="111">
                  <c:v>3.2789685257928222E-3</c:v>
                </c:pt>
                <c:pt idx="112">
                  <c:v>3.2660461924676055E-3</c:v>
                </c:pt>
                <c:pt idx="113">
                  <c:v>3.2536391398984795E-3</c:v>
                </c:pt>
                <c:pt idx="114">
                  <c:v>3.2417309127814866E-3</c:v>
                </c:pt>
                <c:pt idx="115">
                  <c:v>3.2303055073589926E-3</c:v>
                </c:pt>
                <c:pt idx="116">
                  <c:v>3.2193473612441561E-3</c:v>
                </c:pt>
                <c:pt idx="117">
                  <c:v>3.2088413432688045E-3</c:v>
                </c:pt>
                <c:pt idx="118">
                  <c:v>3.1987727433812362E-3</c:v>
                </c:pt>
                <c:pt idx="119">
                  <c:v>3.1891272626170027E-3</c:v>
                </c:pt>
                <c:pt idx="120">
                  <c:v>3.179891003162431E-3</c:v>
                </c:pt>
                <c:pt idx="121">
                  <c:v>3.1710504585278176E-3</c:v>
                </c:pt>
                <c:pt idx="122">
                  <c:v>3.1625925038447915E-3</c:v>
                </c:pt>
                <c:pt idx="123">
                  <c:v>3.1545043862999628E-3</c:v>
                </c:pt>
                <c:pt idx="124">
                  <c:v>3.1467737157151498E-3</c:v>
                </c:pt>
                <c:pt idx="125">
                  <c:v>3.1393884552825893E-3</c:v>
                </c:pt>
                <c:pt idx="126">
                  <c:v>3.1323369124620932E-3</c:v>
                </c:pt>
                <c:pt idx="127">
                  <c:v>3.1256077300456592E-3</c:v>
                </c:pt>
                <c:pt idx="128">
                  <c:v>3.1191898773939111E-3</c:v>
                </c:pt>
                <c:pt idx="129">
                  <c:v>3.1130726418475995E-3</c:v>
                </c:pt>
                <c:pt idx="130">
                  <c:v>3.1072456203165518E-3</c:v>
                </c:pt>
                <c:pt idx="131">
                  <c:v>3.1016987110475598E-3</c:v>
                </c:pt>
                <c:pt idx="132">
                  <c:v>3.0964221055720105E-3</c:v>
                </c:pt>
                <c:pt idx="133">
                  <c:v>3.0914062808334495E-3</c:v>
                </c:pt>
                <c:pt idx="134">
                  <c:v>3.0866419914946869E-3</c:v>
                </c:pt>
                <c:pt idx="135">
                  <c:v>3.0821202624236248E-3</c:v>
                </c:pt>
                <c:pt idx="136">
                  <c:v>3.0778323813565058E-3</c:v>
                </c:pt>
                <c:pt idx="137">
                  <c:v>3.0737698917370298E-3</c:v>
                </c:pt>
                <c:pt idx="138">
                  <c:v>3.0699245857293798E-3</c:v>
                </c:pt>
                <c:pt idx="139">
                  <c:v>3.0662884974030037E-3</c:v>
                </c:pt>
                <c:pt idx="140">
                  <c:v>3.0628538960867607E-3</c:v>
                </c:pt>
                <c:pt idx="141">
                  <c:v>3.0596132798898657E-3</c:v>
                </c:pt>
                <c:pt idx="142">
                  <c:v>3.0565593693868982E-3</c:v>
                </c:pt>
                <c:pt idx="143">
                  <c:v>3.0536851014640342E-3</c:v>
                </c:pt>
                <c:pt idx="144">
                  <c:v>3.0509836233235414E-3</c:v>
                </c:pt>
                <c:pt idx="145">
                  <c:v>3.0484482866435392E-3</c:v>
                </c:pt>
                <c:pt idx="146">
                  <c:v>3.0460726418898997E-3</c:v>
                </c:pt>
                <c:pt idx="147">
                  <c:v>3.0438504327771915E-3</c:v>
                </c:pt>
                <c:pt idx="148">
                  <c:v>3.0417755908755048E-3</c:v>
                </c:pt>
                <c:pt idx="149">
                  <c:v>3.0398422303599738E-3</c:v>
                </c:pt>
                <c:pt idx="150">
                  <c:v>3.0380446428998312E-3</c:v>
                </c:pt>
                <c:pt idx="151">
                  <c:v>3.0363772926838327E-3</c:v>
                </c:pt>
                <c:pt idx="152">
                  <c:v>3.0348348115788772E-3</c:v>
                </c:pt>
                <c:pt idx="153">
                  <c:v>3.0334119944187068E-3</c:v>
                </c:pt>
                <c:pt idx="154">
                  <c:v>3.0321037944195752E-3</c:v>
                </c:pt>
                <c:pt idx="155">
                  <c:v>3.0309053187198031E-3</c:v>
                </c:pt>
                <c:pt idx="156">
                  <c:v>3.0298118240402127E-3</c:v>
                </c:pt>
                <c:pt idx="157">
                  <c:v>3.0288187124624041E-3</c:v>
                </c:pt>
                <c:pt idx="158">
                  <c:v>3.0279215273219819E-3</c:v>
                </c:pt>
                <c:pt idx="159">
                  <c:v>3.0271159492137848E-3</c:v>
                </c:pt>
                <c:pt idx="160">
                  <c:v>3.0263977921062887E-3</c:v>
                </c:pt>
                <c:pt idx="161">
                  <c:v>3.0257629995623981E-3</c:v>
                </c:pt>
                <c:pt idx="162">
                  <c:v>3.0252076410638494E-3</c:v>
                </c:pt>
                <c:pt idx="163">
                  <c:v>3.0247279084365743E-3</c:v>
                </c:pt>
                <c:pt idx="164">
                  <c:v>3.0243201123743447E-3</c:v>
                </c:pt>
                <c:pt idx="165">
                  <c:v>3.0239806790581724E-3</c:v>
                </c:pt>
                <c:pt idx="166">
                  <c:v>3.0237061468688822E-3</c:v>
                </c:pt>
                <c:pt idx="167">
                  <c:v>3.023493163190445E-3</c:v>
                </c:pt>
                <c:pt idx="168">
                  <c:v>3.023338481301617E-3</c:v>
                </c:pt>
                <c:pt idx="169">
                  <c:v>3.0232389573535564E-3</c:v>
                </c:pt>
                <c:pt idx="170">
                  <c:v>3.0231915474311054E-3</c:v>
                </c:pt>
                <c:pt idx="171">
                  <c:v>3.023193304695491E-3</c:v>
                </c:pt>
                <c:pt idx="172">
                  <c:v>3.0232413766062578E-3</c:v>
                </c:pt>
                <c:pt idx="173">
                  <c:v>3.023333002220293E-3</c:v>
                </c:pt>
                <c:pt idx="174">
                  <c:v>3.0234655095658586E-3</c:v>
                </c:pt>
                <c:pt idx="175">
                  <c:v>3.023636313089593E-3</c:v>
                </c:pt>
                <c:pt idx="176">
                  <c:v>3.023842911174514E-3</c:v>
                </c:pt>
                <c:pt idx="177">
                  <c:v>3.0240828837270659E-3</c:v>
                </c:pt>
                <c:pt idx="178">
                  <c:v>3.0243538898313644E-3</c:v>
                </c:pt>
                <c:pt idx="179">
                  <c:v>3.0246536654687721E-3</c:v>
                </c:pt>
                <c:pt idx="180">
                  <c:v>3.0249800213010317E-3</c:v>
                </c:pt>
                <c:pt idx="181">
                  <c:v>3.0253308405152313E-3</c:v>
                </c:pt>
                <c:pt idx="182">
                  <c:v>3.0257040767288769E-3</c:v>
                </c:pt>
                <c:pt idx="183">
                  <c:v>3.0260977519534515E-3</c:v>
                </c:pt>
                <c:pt idx="184">
                  <c:v>3.0265099546148417E-3</c:v>
                </c:pt>
                <c:pt idx="185">
                  <c:v>3.0269388376290649E-3</c:v>
                </c:pt>
                <c:pt idx="186">
                  <c:v>3.0273826165317891E-3</c:v>
                </c:pt>
                <c:pt idx="187">
                  <c:v>3.0278395676601472E-3</c:v>
                </c:pt>
                <c:pt idx="188">
                  <c:v>3.0283080263854211E-3</c:v>
                </c:pt>
                <c:pt idx="189">
                  <c:v>3.0287863853951827E-3</c:v>
                </c:pt>
                <c:pt idx="190">
                  <c:v>3.0292730930235288E-3</c:v>
                </c:pt>
                <c:pt idx="191">
                  <c:v>3.0297666516280776E-3</c:v>
                </c:pt>
                <c:pt idx="192">
                  <c:v>3.0302656160124579E-3</c:v>
                </c:pt>
                <c:pt idx="193">
                  <c:v>3.0307685918929943E-3</c:v>
                </c:pt>
                <c:pt idx="194">
                  <c:v>3.0312742344084011E-3</c:v>
                </c:pt>
                <c:pt idx="195">
                  <c:v>3.0317812466712831E-3</c:v>
                </c:pt>
                <c:pt idx="196">
                  <c:v>3.0322883783602704E-3</c:v>
                </c:pt>
                <c:pt idx="197">
                  <c:v>3.0327944243516971E-3</c:v>
                </c:pt>
                <c:pt idx="198">
                  <c:v>3.0332982233896937E-3</c:v>
                </c:pt>
                <c:pt idx="199">
                  <c:v>3.0337986567936428E-3</c:v>
                </c:pt>
                <c:pt idx="200">
                  <c:v>3.0342946472019746E-3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応答係数!$D$2</c:f>
              <c:strCache>
                <c:ptCount val="1"/>
                <c:pt idx="0">
                  <c:v>貫流応答（二等辺三角）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応答係数!$D$3:$D$4003</c:f>
              <c:numCache>
                <c:formatCode>0.0000</c:formatCode>
                <c:ptCount val="4001"/>
                <c:pt idx="0">
                  <c:v>-3.7051394166287441E-4</c:v>
                </c:pt>
                <c:pt idx="1">
                  <c:v>-4.3339525028828962E-3</c:v>
                </c:pt>
                <c:pt idx="2">
                  <c:v>6.0294768378494198E-3</c:v>
                </c:pt>
                <c:pt idx="3">
                  <c:v>4.8346971108670757E-3</c:v>
                </c:pt>
                <c:pt idx="4">
                  <c:v>2.0129819567350879E-3</c:v>
                </c:pt>
                <c:pt idx="5">
                  <c:v>8.9112753360995274E-5</c:v>
                </c:pt>
                <c:pt idx="6">
                  <c:v>-9.3973901826210535E-4</c:v>
                </c:pt>
                <c:pt idx="7">
                  <c:v>-1.3623637505267628E-3</c:v>
                </c:pt>
                <c:pt idx="8">
                  <c:v>-1.4129869349471704E-3</c:v>
                </c:pt>
                <c:pt idx="9">
                  <c:v>-1.2485883626770157E-3</c:v>
                </c:pt>
                <c:pt idx="10">
                  <c:v>-9.6913953962752869E-4</c:v>
                </c:pt>
                <c:pt idx="11">
                  <c:v>-6.3680897377941452E-4</c:v>
                </c:pt>
                <c:pt idx="12">
                  <c:v>-2.8941643171110385E-4</c:v>
                </c:pt>
                <c:pt idx="13">
                  <c:v>5.0721455670419079E-5</c:v>
                </c:pt>
                <c:pt idx="14">
                  <c:v>3.7107574213980573E-4</c:v>
                </c:pt>
                <c:pt idx="15">
                  <c:v>6.6523485268875371E-4</c:v>
                </c:pt>
                <c:pt idx="16">
                  <c:v>9.305563577080146E-4</c:v>
                </c:pt>
                <c:pt idx="17">
                  <c:v>1.1666704525723412E-3</c:v>
                </c:pt>
                <c:pt idx="18">
                  <c:v>1.3745311493388093E-3</c:v>
                </c:pt>
                <c:pt idx="19">
                  <c:v>1.5558191194566889E-3</c:v>
                </c:pt>
                <c:pt idx="20">
                  <c:v>1.7125698497921895E-3</c:v>
                </c:pt>
                <c:pt idx="21">
                  <c:v>1.8469457597474574E-3</c:v>
                </c:pt>
                <c:pt idx="22">
                  <c:v>1.9610999381505026E-3</c:v>
                </c:pt>
                <c:pt idx="23">
                  <c:v>2.0570978616485133E-3</c:v>
                </c:pt>
                <c:pt idx="24">
                  <c:v>2.1368755098441E-3</c:v>
                </c:pt>
                <c:pt idx="25">
                  <c:v>2.2022200569597182E-3</c:v>
                </c:pt>
                <c:pt idx="26">
                  <c:v>2.2547643183864143E-3</c:v>
                </c:pt>
                <c:pt idx="27">
                  <c:v>2.2959893455864995E-3</c:v>
                </c:pt>
                <c:pt idx="28">
                  <c:v>2.3272316282825687E-3</c:v>
                </c:pt>
                <c:pt idx="29">
                  <c:v>2.3496926875047385E-3</c:v>
                </c:pt>
                <c:pt idx="30">
                  <c:v>2.3644496905637353E-3</c:v>
                </c:pt>
                <c:pt idx="31">
                  <c:v>2.3724662594095136E-3</c:v>
                </c:pt>
                <c:pt idx="32">
                  <c:v>2.3746029867554234E-3</c:v>
                </c:pt>
                <c:pt idx="33">
                  <c:v>2.3716273904611945E-3</c:v>
                </c:pt>
                <c:pt idx="34">
                  <c:v>2.3642231715041871E-3</c:v>
                </c:pt>
                <c:pt idx="35">
                  <c:v>2.3529987237472035E-3</c:v>
                </c:pt>
                <c:pt idx="36">
                  <c:v>2.3384948934990868E-3</c:v>
                </c:pt>
                <c:pt idx="37">
                  <c:v>2.3211920156888479E-3</c:v>
                </c:pt>
                <c:pt idx="38">
                  <c:v>2.3015162691192755E-3</c:v>
                </c:pt>
                <c:pt idx="39">
                  <c:v>2.2798454007176522E-3</c:v>
                </c:pt>
                <c:pt idx="40">
                  <c:v>2.2565138711441242E-3</c:v>
                </c:pt>
                <c:pt idx="41">
                  <c:v>2.2318174735775293E-3</c:v>
                </c:pt>
                <c:pt idx="42">
                  <c:v>2.2060174752551753E-3</c:v>
                </c:pt>
                <c:pt idx="43">
                  <c:v>2.1793443282000602E-3</c:v>
                </c:pt>
                <c:pt idx="44">
                  <c:v>2.1520009920236189E-3</c:v>
                </c:pt>
                <c:pt idx="45">
                  <c:v>2.1241659080463624E-3</c:v>
                </c:pt>
                <c:pt idx="46">
                  <c:v>2.0959956604109879E-3</c:v>
                </c:pt>
                <c:pt idx="47">
                  <c:v>2.0676273564726902E-3</c:v>
                </c:pt>
                <c:pt idx="48">
                  <c:v>2.0391807555905157E-3</c:v>
                </c:pt>
                <c:pt idx="49">
                  <c:v>2.0107601725328278E-3</c:v>
                </c:pt>
                <c:pt idx="50">
                  <c:v>1.9824561790519456E-3</c:v>
                </c:pt>
                <c:pt idx="51">
                  <c:v>1.9543471247700627E-3</c:v>
                </c:pt>
                <c:pt idx="52">
                  <c:v>1.926500496336985E-3</c:v>
                </c:pt>
                <c:pt idx="53">
                  <c:v>1.8989741318535928E-3</c:v>
                </c:pt>
                <c:pt idx="54">
                  <c:v>1.8718173057856386E-3</c:v>
                </c:pt>
                <c:pt idx="55">
                  <c:v>1.8450716980031186E-3</c:v>
                </c:pt>
                <c:pt idx="56">
                  <c:v>1.8187722591542059E-3</c:v>
                </c:pt>
                <c:pt idx="57">
                  <c:v>1.7929479833037739E-3</c:v>
                </c:pt>
                <c:pt idx="58">
                  <c:v>1.7676225976203603E-3</c:v>
                </c:pt>
                <c:pt idx="59">
                  <c:v>1.7428151778685825E-3</c:v>
                </c:pt>
                <c:pt idx="60">
                  <c:v>1.7185406975443612E-3</c:v>
                </c:pt>
                <c:pt idx="61">
                  <c:v>1.6948105176668436E-3</c:v>
                </c:pt>
                <c:pt idx="62">
                  <c:v>1.6716328235036641E-3</c:v>
                </c:pt>
                <c:pt idx="63">
                  <c:v>1.6490130138461965E-3</c:v>
                </c:pt>
                <c:pt idx="64">
                  <c:v>1.6269540478606741E-3</c:v>
                </c:pt>
                <c:pt idx="65">
                  <c:v>1.6054567540122826E-3</c:v>
                </c:pt>
                <c:pt idx="66">
                  <c:v>1.5845201050860578E-3</c:v>
                </c:pt>
                <c:pt idx="67">
                  <c:v>1.5641414629048239E-3</c:v>
                </c:pt>
                <c:pt idx="68">
                  <c:v>1.5443167959653243E-3</c:v>
                </c:pt>
                <c:pt idx="69">
                  <c:v>1.5250408728744204E-3</c:v>
                </c:pt>
                <c:pt idx="70">
                  <c:v>1.5063074341636026E-3</c:v>
                </c:pt>
                <c:pt idx="71">
                  <c:v>1.488109344788316E-3</c:v>
                </c:pt>
                <c:pt idx="72">
                  <c:v>1.4704387293754605E-3</c:v>
                </c:pt>
                <c:pt idx="73">
                  <c:v>1.4532870920647876E-3</c:v>
                </c:pt>
                <c:pt idx="74">
                  <c:v>1.4366454225951727E-3</c:v>
                </c:pt>
                <c:pt idx="75">
                  <c:v>1.4205042901124963E-3</c:v>
                </c:pt>
                <c:pt idx="76">
                  <c:v>1.4048539260198927E-3</c:v>
                </c:pt>
                <c:pt idx="77">
                  <c:v>1.3896842970516014E-3</c:v>
                </c:pt>
                <c:pt idx="78">
                  <c:v>1.3749851696267623E-3</c:v>
                </c:pt>
                <c:pt idx="79">
                  <c:v>1.3607461664277747E-3</c:v>
                </c:pt>
                <c:pt idx="80">
                  <c:v>1.3469568160478452E-3</c:v>
                </c:pt>
                <c:pt idx="81">
                  <c:v>1.3336065964628893E-3</c:v>
                </c:pt>
                <c:pt idx="82">
                  <c:v>1.3206849730029082E-3</c:v>
                </c:pt>
                <c:pt idx="83">
                  <c:v>1.3081814314263277E-3</c:v>
                </c:pt>
                <c:pt idx="84">
                  <c:v>1.2960855066367102E-3</c:v>
                </c:pt>
                <c:pt idx="85">
                  <c:v>1.2843868075239255E-3</c:v>
                </c:pt>
                <c:pt idx="86">
                  <c:v>1.2730750383605439E-3</c:v>
                </c:pt>
                <c:pt idx="87">
                  <c:v>1.2621400171383538E-3</c:v>
                </c:pt>
                <c:pt idx="88">
                  <c:v>1.2515716911888435E-3</c:v>
                </c:pt>
                <c:pt idx="89">
                  <c:v>1.2413601503947385E-3</c:v>
                </c:pt>
                <c:pt idx="90">
                  <c:v>1.2314956382668695E-3</c:v>
                </c:pt>
                <c:pt idx="91">
                  <c:v>1.2219685611312354E-3</c:v>
                </c:pt>
                <c:pt idx="92">
                  <c:v>1.2127694956448412E-3</c:v>
                </c:pt>
                <c:pt idx="93">
                  <c:v>1.2038891948353981E-3</c:v>
                </c:pt>
                <c:pt idx="94">
                  <c:v>1.19531859283893E-3</c:v>
                </c:pt>
                <c:pt idx="95">
                  <c:v>1.1870488084905382E-3</c:v>
                </c:pt>
                <c:pt idx="96">
                  <c:v>1.1790711479067598E-3</c:v>
                </c:pt>
                <c:pt idx="97">
                  <c:v>1.1713771061829168E-3</c:v>
                </c:pt>
                <c:pt idx="98">
                  <c:v>1.1639583683154208E-3</c:v>
                </c:pt>
                <c:pt idx="99">
                  <c:v>1.1568068094469706E-3</c:v>
                </c:pt>
                <c:pt idx="100">
                  <c:v>1.1499144945218442E-3</c:v>
                </c:pt>
                <c:pt idx="101">
                  <c:v>1.1432736774288793E-3</c:v>
                </c:pt>
                <c:pt idx="102">
                  <c:v>1.1368767997011657E-3</c:v>
                </c:pt>
                <c:pt idx="103">
                  <c:v>1.1307164888337885E-3</c:v>
                </c:pt>
                <c:pt idx="104">
                  <c:v>1.1247855562741267E-3</c:v>
                </c:pt>
                <c:pt idx="105">
                  <c:v>1.1190769951330789E-3</c:v>
                </c:pt>
                <c:pt idx="106">
                  <c:v>1.1135839776601258E-3</c:v>
                </c:pt>
                <c:pt idx="107">
                  <c:v>1.1082998525202567E-3</c:v>
                </c:pt>
                <c:pt idx="108">
                  <c:v>1.1032181419064256E-3</c:v>
                </c:pt>
                <c:pt idx="109">
                  <c:v>1.0983325385173161E-3</c:v>
                </c:pt>
                <c:pt idx="110">
                  <c:v>1.0936369024267135E-3</c:v>
                </c:pt>
                <c:pt idx="111">
                  <c:v>1.0891252578676938E-3</c:v>
                </c:pt>
                <c:pt idx="112">
                  <c:v>1.0847917899520654E-3</c:v>
                </c:pt>
                <c:pt idx="113">
                  <c:v>1.080630841343041E-3</c:v>
                </c:pt>
                <c:pt idx="114">
                  <c:v>1.0766369088969188E-3</c:v>
                </c:pt>
                <c:pt idx="115">
                  <c:v>1.0728046402875928E-3</c:v>
                </c:pt>
                <c:pt idx="116">
                  <c:v>1.0691288306259653E-3</c:v>
                </c:pt>
                <c:pt idx="117">
                  <c:v>1.0656044190847976E-3</c:v>
                </c:pt>
                <c:pt idx="118">
                  <c:v>1.0622264855381215E-3</c:v>
                </c:pt>
                <c:pt idx="119">
                  <c:v>1.0589902472231438E-3</c:v>
                </c:pt>
                <c:pt idx="120">
                  <c:v>1.0558910554314535E-3</c:v>
                </c:pt>
                <c:pt idx="121">
                  <c:v>1.0529243922353811E-3</c:v>
                </c:pt>
                <c:pt idx="122">
                  <c:v>1.0500858672545079E-3</c:v>
                </c:pt>
                <c:pt idx="123">
                  <c:v>1.0473712144665357E-3</c:v>
                </c:pt>
                <c:pt idx="124">
                  <c:v>1.0447762890660745E-3</c:v>
                </c:pt>
                <c:pt idx="125">
                  <c:v>1.0422970643742873E-3</c:v>
                </c:pt>
                <c:pt idx="126">
                  <c:v>1.0399296288018162E-3</c:v>
                </c:pt>
                <c:pt idx="127">
                  <c:v>1.0376701828669261E-3</c:v>
                </c:pt>
                <c:pt idx="128">
                  <c:v>1.035515036270413E-3</c:v>
                </c:pt>
                <c:pt idx="129">
                  <c:v>1.0334606050284344E-3</c:v>
                </c:pt>
                <c:pt idx="130">
                  <c:v>1.0315034086641184E-3</c:v>
                </c:pt>
                <c:pt idx="131">
                  <c:v>1.0296400674585191E-3</c:v>
                </c:pt>
                <c:pt idx="132">
                  <c:v>1.0278672997612336E-3</c:v>
                </c:pt>
                <c:pt idx="133">
                  <c:v>1.0261819193607962E-3</c:v>
                </c:pt>
                <c:pt idx="134">
                  <c:v>1.0245808329147554E-3</c:v>
                </c:pt>
                <c:pt idx="135">
                  <c:v>1.0230610374392054E-3</c:v>
                </c:pt>
                <c:pt idx="136">
                  <c:v>1.0216196178573667E-3</c:v>
                </c:pt>
                <c:pt idx="137">
                  <c:v>1.020253744606724E-3</c:v>
                </c:pt>
                <c:pt idx="138">
                  <c:v>1.0189606713041017E-3</c:v>
                </c:pt>
                <c:pt idx="139">
                  <c:v>1.0177377324679718E-3</c:v>
                </c:pt>
                <c:pt idx="140">
                  <c:v>1.0165823412972266E-3</c:v>
                </c:pt>
                <c:pt idx="141">
                  <c:v>1.0154919875055648E-3</c:v>
                </c:pt>
                <c:pt idx="142">
                  <c:v>1.014464235210608E-3</c:v>
                </c:pt>
                <c:pt idx="143">
                  <c:v>1.0134967208767999E-3</c:v>
                </c:pt>
                <c:pt idx="144">
                  <c:v>1.0125871513111243E-3</c:v>
                </c:pt>
                <c:pt idx="145">
                  <c:v>1.0117333017106412E-3</c:v>
                </c:pt>
                <c:pt idx="146">
                  <c:v>1.0109330137608149E-3</c:v>
                </c:pt>
                <c:pt idx="147">
                  <c:v>1.0101841937836039E-3</c:v>
                </c:pt>
                <c:pt idx="148">
                  <c:v>1.0094848109342667E-3</c:v>
                </c:pt>
                <c:pt idx="149">
                  <c:v>1.0088328954458224E-3</c:v>
                </c:pt>
                <c:pt idx="150">
                  <c:v>1.0082265369201226E-3</c:v>
                </c:pt>
                <c:pt idx="151">
                  <c:v>1.0076638826644726E-3</c:v>
                </c:pt>
                <c:pt idx="152">
                  <c:v>1.0071431360727582E-3</c:v>
                </c:pt>
                <c:pt idx="153">
                  <c:v>1.0066625550500298E-3</c:v>
                </c:pt>
                <c:pt idx="154">
                  <c:v>1.0062204504795156E-3</c:v>
                </c:pt>
                <c:pt idx="155">
                  <c:v>1.0058151847310343E-3</c:v>
                </c:pt>
                <c:pt idx="156">
                  <c:v>1.0054451702098037E-3</c:v>
                </c:pt>
                <c:pt idx="157">
                  <c:v>1.0051088679446398E-3</c:v>
                </c:pt>
                <c:pt idx="158">
                  <c:v>1.0048047862145676E-3</c:v>
                </c:pt>
                <c:pt idx="159">
                  <c:v>1.0045314792128789E-3</c:v>
                </c:pt>
                <c:pt idx="160">
                  <c:v>1.0042875457476807E-3</c:v>
                </c:pt>
                <c:pt idx="161">
                  <c:v>1.0040716279780056E-3</c:v>
                </c:pt>
                <c:pt idx="162">
                  <c:v>1.0038824101845636E-3</c:v>
                </c:pt>
                <c:pt idx="163">
                  <c:v>1.0037186175742435E-3</c:v>
                </c:pt>
                <c:pt idx="164">
                  <c:v>1.0035790151174783E-3</c:v>
                </c:pt>
                <c:pt idx="165">
                  <c:v>1.003462406417616E-3</c:v>
                </c:pt>
                <c:pt idx="166">
                  <c:v>1.003367632611452E-3</c:v>
                </c:pt>
                <c:pt idx="167">
                  <c:v>1.0032935713001022E-3</c:v>
                </c:pt>
                <c:pt idx="168">
                  <c:v>1.0032391355094038E-3</c:v>
                </c:pt>
                <c:pt idx="169">
                  <c:v>1.0032032726790682E-3</c:v>
                </c:pt>
                <c:pt idx="170">
                  <c:v>1.0031849636798027E-3</c:v>
                </c:pt>
                <c:pt idx="171">
                  <c:v>1.0031832218576661E-3</c:v>
                </c:pt>
                <c:pt idx="172">
                  <c:v>1.0031970921049137E-3</c:v>
                </c:pt>
                <c:pt idx="173">
                  <c:v>1.0032256499566223E-3</c:v>
                </c:pt>
                <c:pt idx="174">
                  <c:v>1.003268000712399E-3</c:v>
                </c:pt>
                <c:pt idx="175">
                  <c:v>1.0033232785824943E-3</c:v>
                </c:pt>
                <c:pt idx="176">
                  <c:v>1.0033906458576513E-3</c:v>
                </c:pt>
                <c:pt idx="177">
                  <c:v>1.0034692921020547E-3</c:v>
                </c:pt>
                <c:pt idx="178">
                  <c:v>1.0035584333687425E-3</c:v>
                </c:pt>
                <c:pt idx="179">
                  <c:v>1.0036573114368726E-3</c:v>
                </c:pt>
                <c:pt idx="180">
                  <c:v>1.0037651930702425E-3</c:v>
                </c:pt>
                <c:pt idx="181">
                  <c:v>1.0038813692964854E-3</c:v>
                </c:pt>
                <c:pt idx="182">
                  <c:v>1.0040051547063737E-3</c:v>
                </c:pt>
                <c:pt idx="183">
                  <c:v>1.0041358867726759E-3</c:v>
                </c:pt>
                <c:pt idx="184">
                  <c:v>1.0042729251880365E-3</c:v>
                </c:pt>
                <c:pt idx="185">
                  <c:v>1.0044156512213501E-3</c:v>
                </c:pt>
                <c:pt idx="186">
                  <c:v>1.0045634670921254E-3</c:v>
                </c:pt>
                <c:pt idx="187">
                  <c:v>1.004715795362337E-3</c:v>
                </c:pt>
                <c:pt idx="188">
                  <c:v>1.0048720783452948E-3</c:v>
                </c:pt>
                <c:pt idx="189">
                  <c:v>1.0050317775310491E-3</c:v>
                </c:pt>
                <c:pt idx="190">
                  <c:v>1.005194373027884E-3</c:v>
                </c:pt>
                <c:pt idx="191">
                  <c:v>1.005359363019451E-3</c:v>
                </c:pt>
                <c:pt idx="192">
                  <c:v>1.0055262632371117E-3</c:v>
                </c:pt>
                <c:pt idx="193">
                  <c:v>1.0056946064470711E-3</c:v>
                </c:pt>
                <c:pt idx="194">
                  <c:v>1.0058639419518859E-3</c:v>
                </c:pt>
                <c:pt idx="195">
                  <c:v>1.0060338351059643E-3</c:v>
                </c:pt>
                <c:pt idx="196">
                  <c:v>1.0062038668446477E-3</c:v>
                </c:pt>
                <c:pt idx="197">
                  <c:v>1.0063736332265247E-3</c:v>
                </c:pt>
                <c:pt idx="198">
                  <c:v>1.0065427449885876E-3</c:v>
                </c:pt>
                <c:pt idx="199">
                  <c:v>1.0067108271138918E-3</c:v>
                </c:pt>
                <c:pt idx="200">
                  <c:v>1.0068775184113611E-3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609600</xdr:colOff>
      <xdr:row>2</xdr:row>
      <xdr:rowOff>28575</xdr:rowOff>
    </xdr:to>
    <xdr:sp macro="[0]!Mai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" y="0"/>
          <a:ext cx="1533524" cy="4667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/>
            <a:t>応答係数を計算する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518160</xdr:colOff>
          <xdr:row>2</xdr:row>
          <xdr:rowOff>106680</xdr:rowOff>
        </xdr:from>
        <xdr:to>
          <xdr:col>13</xdr:col>
          <xdr:colOff>609600</xdr:colOff>
          <xdr:row>3</xdr:row>
          <xdr:rowOff>152400</xdr:rowOff>
        </xdr:to>
        <xdr:sp macro="" textlink="">
          <xdr:nvSpPr>
            <xdr:cNvPr id="17419" name="OptionButton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1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624840</xdr:colOff>
          <xdr:row>2</xdr:row>
          <xdr:rowOff>106680</xdr:rowOff>
        </xdr:from>
        <xdr:to>
          <xdr:col>14</xdr:col>
          <xdr:colOff>403860</xdr:colOff>
          <xdr:row>3</xdr:row>
          <xdr:rowOff>152400</xdr:rowOff>
        </xdr:to>
        <xdr:sp macro="" textlink="">
          <xdr:nvSpPr>
            <xdr:cNvPr id="17420" name="OptionButton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1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449580</xdr:colOff>
          <xdr:row>2</xdr:row>
          <xdr:rowOff>106680</xdr:rowOff>
        </xdr:from>
        <xdr:to>
          <xdr:col>15</xdr:col>
          <xdr:colOff>342900</xdr:colOff>
          <xdr:row>3</xdr:row>
          <xdr:rowOff>152400</xdr:rowOff>
        </xdr:to>
        <xdr:sp macro="" textlink="">
          <xdr:nvSpPr>
            <xdr:cNvPr id="17421" name="OptionButton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1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327660</xdr:colOff>
          <xdr:row>2</xdr:row>
          <xdr:rowOff>114300</xdr:rowOff>
        </xdr:from>
        <xdr:to>
          <xdr:col>16</xdr:col>
          <xdr:colOff>365760</xdr:colOff>
          <xdr:row>3</xdr:row>
          <xdr:rowOff>160020</xdr:rowOff>
        </xdr:to>
        <xdr:sp macro="" textlink="">
          <xdr:nvSpPr>
            <xdr:cNvPr id="17422" name="OptionButton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1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388620</xdr:colOff>
          <xdr:row>2</xdr:row>
          <xdr:rowOff>121920</xdr:rowOff>
        </xdr:from>
        <xdr:to>
          <xdr:col>17</xdr:col>
          <xdr:colOff>106680</xdr:colOff>
          <xdr:row>3</xdr:row>
          <xdr:rowOff>167640</xdr:rowOff>
        </xdr:to>
        <xdr:sp macro="" textlink="">
          <xdr:nvSpPr>
            <xdr:cNvPr id="17423" name="OptionButton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1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2</xdr:row>
          <xdr:rowOff>121920</xdr:rowOff>
        </xdr:from>
        <xdr:to>
          <xdr:col>17</xdr:col>
          <xdr:colOff>495300</xdr:colOff>
          <xdr:row>3</xdr:row>
          <xdr:rowOff>167640</xdr:rowOff>
        </xdr:to>
        <xdr:sp macro="" textlink="">
          <xdr:nvSpPr>
            <xdr:cNvPr id="17424" name="OptionButton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1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385762</xdr:colOff>
      <xdr:row>785</xdr:row>
      <xdr:rowOff>85724</xdr:rowOff>
    </xdr:from>
    <xdr:to>
      <xdr:col>32</xdr:col>
      <xdr:colOff>461962</xdr:colOff>
      <xdr:row>806</xdr:row>
      <xdr:rowOff>28574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223837</xdr:colOff>
      <xdr:row>805</xdr:row>
      <xdr:rowOff>71437</xdr:rowOff>
    </xdr:from>
    <xdr:to>
      <xdr:col>10</xdr:col>
      <xdr:colOff>300037</xdr:colOff>
      <xdr:row>826</xdr:row>
      <xdr:rowOff>14287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76199</xdr:colOff>
      <xdr:row>803</xdr:row>
      <xdr:rowOff>114300</xdr:rowOff>
    </xdr:from>
    <xdr:to>
      <xdr:col>19</xdr:col>
      <xdr:colOff>152399</xdr:colOff>
      <xdr:row>824</xdr:row>
      <xdr:rowOff>57150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175260</xdr:colOff>
      <xdr:row>3977</xdr:row>
      <xdr:rowOff>30486</xdr:rowOff>
    </xdr:from>
    <xdr:to>
      <xdr:col>14</xdr:col>
      <xdr:colOff>198120</xdr:colOff>
      <xdr:row>3997</xdr:row>
      <xdr:rowOff>30486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175260</xdr:colOff>
      <xdr:row>3997</xdr:row>
      <xdr:rowOff>91446</xdr:rowOff>
    </xdr:from>
    <xdr:to>
      <xdr:col>14</xdr:col>
      <xdr:colOff>198120</xdr:colOff>
      <xdr:row>4017</xdr:row>
      <xdr:rowOff>91446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175260</xdr:colOff>
      <xdr:row>3997</xdr:row>
      <xdr:rowOff>91446</xdr:rowOff>
    </xdr:from>
    <xdr:to>
      <xdr:col>21</xdr:col>
      <xdr:colOff>533400</xdr:colOff>
      <xdr:row>4017</xdr:row>
      <xdr:rowOff>91446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toh/Dropbox/users/&#20316;&#26989;&#20013;&#26989;&#21209;/&#22522;&#25972;&#20419;E7share/55_&#34920;&#38754;&#28201;&#24230;&#24540;&#31572;&#12398;&#12503;&#12525;&#12464;&#12521;&#12512;/20180105&#31777;&#26131;&#12471;&#12511;&#12517;&#12524;&#12540;&#12479;&#65288;&#12471;&#12531;&#12503;&#12523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変更履歴"/>
      <sheetName val="入力データ"/>
      <sheetName val="計算条件"/>
      <sheetName val="開口部・建具"/>
      <sheetName val="庇"/>
      <sheetName val="壁体構成"/>
      <sheetName val="壁体構成（感度解析用）"/>
      <sheetName val="壁体構成（NEDO実験棟土壌10m）"/>
      <sheetName val="壁体構成（NEDO実験棟土間深さ検討用）"/>
      <sheetName val="壁体構成（単室モデル壁体構成）"/>
      <sheetName val="固定根"/>
      <sheetName val="応答係数"/>
      <sheetName val="気象データ"/>
      <sheetName val="主たる居室"/>
      <sheetName val="その他居室_寝室"/>
      <sheetName val="その他居室_子供室1"/>
      <sheetName val="その他居室_子供室2"/>
      <sheetName val="その他居室_和室"/>
      <sheetName val="非居室"/>
      <sheetName val="熱負荷・室温計算Template"/>
      <sheetName val="部位熱取得Template"/>
      <sheetName val="傾斜面日射量Template"/>
      <sheetName val="表面温度Template"/>
      <sheetName val="室内等価温度Template"/>
      <sheetName val="非定常畳み込みTemplate"/>
      <sheetName val="BRCTemplate"/>
      <sheetName val="BRMTemplate"/>
      <sheetName val="室内表面吸収日射Template"/>
      <sheetName val="相当外気温度Template"/>
      <sheetName val="開口部日射Template"/>
      <sheetName val="庇Template"/>
      <sheetName val="応答係数Template"/>
      <sheetName val="カレンダー"/>
      <sheetName val="局所換気スケジュール"/>
      <sheetName val="暖冷房スケジュール"/>
      <sheetName val="機器発熱スケジュール"/>
      <sheetName val="照明発熱スケジュール"/>
      <sheetName val="人体スケジュール"/>
    </sheetNames>
    <sheetDataSet>
      <sheetData sheetId="0" refreshError="1"/>
      <sheetData sheetId="1">
        <row r="2">
          <cell r="C2">
            <v>3600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C19"/>
  <sheetViews>
    <sheetView showGridLines="0" workbookViewId="0">
      <selection activeCell="C14" sqref="C14"/>
    </sheetView>
  </sheetViews>
  <sheetFormatPr defaultRowHeight="10.8"/>
  <cols>
    <col min="1" max="1" width="11.125" style="22" bestFit="1" customWidth="1"/>
    <col min="2" max="2" width="16.125" bestFit="1" customWidth="1"/>
    <col min="3" max="3" width="58.5" style="11" bestFit="1" customWidth="1"/>
  </cols>
  <sheetData>
    <row r="1" spans="1:3">
      <c r="A1" s="15" t="s">
        <v>0</v>
      </c>
      <c r="B1" s="15" t="s">
        <v>18</v>
      </c>
      <c r="C1" s="16" t="s">
        <v>19</v>
      </c>
    </row>
    <row r="2" spans="1:3">
      <c r="A2" s="20">
        <v>43306</v>
      </c>
      <c r="B2" s="3" t="s">
        <v>38</v>
      </c>
      <c r="C2" s="17" t="s">
        <v>39</v>
      </c>
    </row>
    <row r="3" spans="1:3">
      <c r="A3" s="20"/>
      <c r="B3" s="3"/>
      <c r="C3" s="17"/>
    </row>
    <row r="4" spans="1:3">
      <c r="A4" s="20"/>
      <c r="B4" s="3"/>
      <c r="C4" s="17"/>
    </row>
    <row r="5" spans="1:3">
      <c r="A5" s="20"/>
      <c r="B5" s="3"/>
      <c r="C5" s="17"/>
    </row>
    <row r="6" spans="1:3">
      <c r="A6" s="20"/>
      <c r="B6" s="3"/>
      <c r="C6" s="17"/>
    </row>
    <row r="7" spans="1:3">
      <c r="A7" s="20"/>
      <c r="B7" s="3"/>
      <c r="C7" s="17"/>
    </row>
    <row r="8" spans="1:3">
      <c r="A8" s="20"/>
      <c r="B8" s="3"/>
      <c r="C8" s="17"/>
    </row>
    <row r="9" spans="1:3">
      <c r="A9" s="20"/>
      <c r="B9" s="3"/>
      <c r="C9" s="17"/>
    </row>
    <row r="10" spans="1:3">
      <c r="A10" s="20"/>
      <c r="B10" s="17"/>
      <c r="C10" s="17"/>
    </row>
    <row r="11" spans="1:3">
      <c r="A11" s="20"/>
      <c r="B11" s="17"/>
      <c r="C11" s="17"/>
    </row>
    <row r="12" spans="1:3">
      <c r="A12" s="20"/>
      <c r="B12" s="17"/>
      <c r="C12" s="17"/>
    </row>
    <row r="13" spans="1:3">
      <c r="A13" s="20"/>
      <c r="B13" s="3"/>
      <c r="C13" s="17"/>
    </row>
    <row r="14" spans="1:3">
      <c r="A14" s="20"/>
      <c r="B14" s="19"/>
      <c r="C14" s="17"/>
    </row>
    <row r="15" spans="1:3">
      <c r="A15" s="20"/>
      <c r="B15" s="3"/>
      <c r="C15" s="17"/>
    </row>
    <row r="16" spans="1:3">
      <c r="A16" s="20"/>
      <c r="B16" s="19"/>
      <c r="C16" s="17"/>
    </row>
    <row r="17" spans="1:3">
      <c r="A17" s="20"/>
      <c r="B17" s="19"/>
      <c r="C17" s="17"/>
    </row>
    <row r="18" spans="1:3">
      <c r="A18" s="20"/>
      <c r="B18" s="3"/>
      <c r="C18" s="17"/>
    </row>
    <row r="19" spans="1:3">
      <c r="A19" s="20"/>
      <c r="B19" s="19"/>
      <c r="C19" s="17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Q13"/>
  <sheetViews>
    <sheetView showGridLines="0" workbookViewId="0">
      <pane xSplit="1" ySplit="5" topLeftCell="B6" activePane="bottomRight" state="frozen"/>
      <selection activeCell="K50" sqref="K50"/>
      <selection pane="topRight" activeCell="K50" sqref="K50"/>
      <selection pane="bottomLeft" activeCell="K50" sqref="K50"/>
      <selection pane="bottomRight" activeCell="G2" sqref="G2"/>
    </sheetView>
  </sheetViews>
  <sheetFormatPr defaultRowHeight="17.25" customHeight="1"/>
  <cols>
    <col min="1" max="1" width="16.125" bestFit="1" customWidth="1"/>
    <col min="2" max="2" width="38.875" bestFit="1" customWidth="1"/>
    <col min="3" max="3" width="11.125" bestFit="1" customWidth="1"/>
    <col min="4" max="4" width="11.625" bestFit="1" customWidth="1"/>
    <col min="5" max="5" width="6.375" bestFit="1" customWidth="1"/>
    <col min="6" max="6" width="13.125" bestFit="1" customWidth="1"/>
    <col min="7" max="7" width="18.375" bestFit="1" customWidth="1"/>
    <col min="8" max="8" width="14.375" bestFit="1" customWidth="1"/>
    <col min="9" max="9" width="19.125" bestFit="1" customWidth="1"/>
    <col min="10" max="11" width="19.125" customWidth="1"/>
    <col min="12" max="12" width="11.875" bestFit="1" customWidth="1"/>
    <col min="13" max="17" width="10.875" bestFit="1" customWidth="1"/>
  </cols>
  <sheetData>
    <row r="1" spans="1:17" ht="17.25" customHeight="1">
      <c r="C1" s="3" t="s">
        <v>11</v>
      </c>
      <c r="D1" s="6">
        <v>900</v>
      </c>
      <c r="E1" s="7" t="s">
        <v>12</v>
      </c>
      <c r="G1" s="3" t="s">
        <v>34</v>
      </c>
      <c r="H1" s="21">
        <v>1.9999999999999999E-6</v>
      </c>
      <c r="I1" s="21">
        <v>7.9000000000000006E-6</v>
      </c>
      <c r="J1" s="21">
        <v>3.1204999999999997E-5</v>
      </c>
      <c r="K1" s="21">
        <v>1.2324999999999999E-4</v>
      </c>
      <c r="L1" s="21">
        <v>4.8686999999999998E-4</v>
      </c>
      <c r="M1" s="21">
        <v>1.9231000000000001E-3</v>
      </c>
      <c r="N1" s="21">
        <v>7.5963999999999997E-3</v>
      </c>
      <c r="O1" s="21">
        <v>3.0006000000000001E-2</v>
      </c>
      <c r="P1" s="3"/>
      <c r="Q1" s="3"/>
    </row>
    <row r="2" spans="1:17" ht="17.25" customHeight="1">
      <c r="C2" s="3" t="s">
        <v>13</v>
      </c>
      <c r="D2" s="6">
        <v>50</v>
      </c>
      <c r="E2" s="7" t="s">
        <v>14</v>
      </c>
      <c r="G2" s="3" t="s">
        <v>35</v>
      </c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7.25" customHeight="1">
      <c r="C3" s="3" t="s">
        <v>37</v>
      </c>
      <c r="D3" s="25"/>
      <c r="E3" s="7" t="s">
        <v>14</v>
      </c>
      <c r="G3" s="23" t="s">
        <v>36</v>
      </c>
      <c r="H3" s="24"/>
      <c r="I3" s="24"/>
      <c r="J3" s="24"/>
      <c r="K3" s="24"/>
      <c r="M3" s="24"/>
    </row>
    <row r="4" spans="1:17" ht="17.25" customHeight="1">
      <c r="A4" s="1" t="s">
        <v>9</v>
      </c>
      <c r="B4" s="1" t="s">
        <v>8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16</v>
      </c>
      <c r="I4" s="1" t="s">
        <v>17</v>
      </c>
      <c r="J4" s="1" t="s">
        <v>22</v>
      </c>
      <c r="K4" s="1" t="s">
        <v>20</v>
      </c>
      <c r="L4" s="1" t="s">
        <v>10</v>
      </c>
      <c r="M4" s="24"/>
    </row>
    <row r="5" spans="1:17" ht="17.25" customHeight="1">
      <c r="A5" s="12"/>
      <c r="B5" s="12"/>
      <c r="C5" s="12" t="s">
        <v>24</v>
      </c>
      <c r="D5" s="12" t="s">
        <v>15</v>
      </c>
      <c r="E5" s="12" t="s">
        <v>7</v>
      </c>
      <c r="F5" s="12" t="s">
        <v>23</v>
      </c>
      <c r="G5" s="12" t="s">
        <v>25</v>
      </c>
      <c r="H5" s="12" t="s">
        <v>1</v>
      </c>
      <c r="I5" s="12" t="s">
        <v>1</v>
      </c>
      <c r="J5" s="12" t="s">
        <v>21</v>
      </c>
      <c r="K5" s="12" t="s">
        <v>21</v>
      </c>
      <c r="L5" s="12" t="s">
        <v>21</v>
      </c>
      <c r="N5" t="b">
        <v>1</v>
      </c>
    </row>
    <row r="6" spans="1:17" ht="17.25" customHeight="1">
      <c r="A6" s="8" t="s">
        <v>51</v>
      </c>
      <c r="B6" s="3" t="s">
        <v>40</v>
      </c>
      <c r="C6" s="26">
        <v>0.22</v>
      </c>
      <c r="D6" s="3">
        <v>830</v>
      </c>
      <c r="E6" s="3">
        <v>9</v>
      </c>
      <c r="F6" s="32">
        <f>IF(E6&gt;0,E6/1000/C6,IF(E6=0,1/C6,0))</f>
        <v>4.0909090909090909E-2</v>
      </c>
      <c r="G6" s="31">
        <f>IF(E6&gt;0,D6*E6/1000,0)</f>
        <v>7.47</v>
      </c>
      <c r="H6" s="8">
        <v>0.9</v>
      </c>
      <c r="I6" s="8">
        <v>0.8</v>
      </c>
      <c r="J6" s="8">
        <v>4.0999999999999996</v>
      </c>
      <c r="K6" s="8">
        <v>5</v>
      </c>
      <c r="L6" s="18">
        <f>1/(SUM(F6:F11)+1/SUM(J6:K6))</f>
        <v>0.30504306299839701</v>
      </c>
      <c r="N6" t="b">
        <v>0</v>
      </c>
    </row>
    <row r="7" spans="1:17" ht="17.25" customHeight="1">
      <c r="A7" s="9"/>
      <c r="B7" s="3" t="s">
        <v>41</v>
      </c>
      <c r="C7" s="26">
        <f>1/0.07</f>
        <v>14.285714285714285</v>
      </c>
      <c r="D7" s="3"/>
      <c r="E7" s="3"/>
      <c r="F7" s="32">
        <f>IF(E7&gt;0,E7/1000/C7,IF(E7=0,1/C7,0))</f>
        <v>7.0000000000000007E-2</v>
      </c>
      <c r="G7" s="31">
        <f>IF(E7&gt;0,D7*E7/1000,0)</f>
        <v>0</v>
      </c>
      <c r="H7" s="9"/>
      <c r="I7" s="9"/>
      <c r="J7" s="9"/>
      <c r="K7" s="9"/>
      <c r="L7" s="27"/>
      <c r="N7" t="b">
        <v>0</v>
      </c>
    </row>
    <row r="8" spans="1:17" ht="17.25" customHeight="1">
      <c r="A8" s="9"/>
      <c r="B8" s="3" t="s">
        <v>42</v>
      </c>
      <c r="C8" s="26">
        <v>1.6</v>
      </c>
      <c r="D8" s="3">
        <v>2000</v>
      </c>
      <c r="E8" s="3">
        <v>90</v>
      </c>
      <c r="F8" s="32">
        <f>IF(E8&gt;0,E8/1000/C8,IF(E8=0,1/C8,0))</f>
        <v>5.6249999999999994E-2</v>
      </c>
      <c r="G8" s="31">
        <f>IF(E8&gt;0,D8*E8/1000,0)</f>
        <v>180</v>
      </c>
      <c r="H8" s="9"/>
      <c r="I8" s="9"/>
      <c r="J8" s="9"/>
      <c r="K8" s="9"/>
      <c r="L8" s="27"/>
      <c r="N8" t="b">
        <v>0</v>
      </c>
    </row>
    <row r="9" spans="1:17" ht="17.25" customHeight="1">
      <c r="A9" s="9"/>
      <c r="B9" s="3" t="s">
        <v>43</v>
      </c>
      <c r="C9" s="26">
        <v>3.4000000000000002E-2</v>
      </c>
      <c r="D9" s="3">
        <v>36</v>
      </c>
      <c r="E9" s="3">
        <v>100</v>
      </c>
      <c r="F9" s="32">
        <f t="shared" ref="F9:F11" si="0">IF(E9&gt;0,E9/1000/C9,IF(E9=0,1/C9,0))</f>
        <v>2.9411764705882351</v>
      </c>
      <c r="G9" s="31">
        <f t="shared" ref="G9:G11" si="1">IF(E9&gt;0,D9*E9/1000,0)</f>
        <v>3.6</v>
      </c>
      <c r="H9" s="9"/>
      <c r="I9" s="9"/>
      <c r="J9" s="9"/>
      <c r="K9" s="9"/>
      <c r="L9" s="29"/>
      <c r="N9" t="b">
        <v>0</v>
      </c>
    </row>
    <row r="10" spans="1:17" ht="17.25" customHeight="1">
      <c r="A10" s="9"/>
      <c r="B10" s="13" t="s">
        <v>52</v>
      </c>
      <c r="C10" s="26">
        <v>1.5</v>
      </c>
      <c r="D10" s="3">
        <v>1600</v>
      </c>
      <c r="E10" s="13">
        <v>30</v>
      </c>
      <c r="F10" s="32">
        <f t="shared" si="0"/>
        <v>0.02</v>
      </c>
      <c r="G10" s="31">
        <f t="shared" si="1"/>
        <v>48</v>
      </c>
      <c r="H10" s="9"/>
      <c r="I10" s="9"/>
      <c r="J10" s="9"/>
      <c r="K10" s="9"/>
      <c r="L10" s="27"/>
      <c r="N10" t="b">
        <v>0</v>
      </c>
    </row>
    <row r="11" spans="1:17" ht="17.25" customHeight="1">
      <c r="A11" s="9"/>
      <c r="B11" s="13" t="s">
        <v>44</v>
      </c>
      <c r="C11" s="28">
        <v>25</v>
      </c>
      <c r="D11" s="3"/>
      <c r="E11" s="3"/>
      <c r="F11" s="32">
        <f t="shared" si="0"/>
        <v>0.04</v>
      </c>
      <c r="G11" s="31">
        <f t="shared" si="1"/>
        <v>0</v>
      </c>
      <c r="H11" s="9"/>
      <c r="I11" s="9"/>
      <c r="J11" s="9"/>
      <c r="K11" s="9"/>
      <c r="L11" s="27"/>
    </row>
    <row r="12" spans="1:17" ht="17.25" customHeight="1">
      <c r="A12" s="9"/>
      <c r="F12" s="30">
        <f>SUM(F6:F11)</f>
        <v>3.1683355614973259</v>
      </c>
      <c r="H12" s="9"/>
      <c r="I12" s="9"/>
      <c r="J12" s="9"/>
      <c r="K12" s="9"/>
      <c r="L12" s="27"/>
    </row>
    <row r="13" spans="1:17" ht="17.25" customHeight="1">
      <c r="A13" s="10"/>
      <c r="H13" s="10"/>
      <c r="I13" s="10"/>
      <c r="J13" s="10"/>
      <c r="K13" s="10"/>
      <c r="L13" s="10"/>
    </row>
  </sheetData>
  <phoneticPr fontId="3"/>
  <conditionalFormatting sqref="B37:G1048576 F7:G11">
    <cfRule type="expression" dxfId="6" priority="449">
      <formula>$E7&lt;0</formula>
    </cfRule>
  </conditionalFormatting>
  <conditionalFormatting sqref="H8:L8 H9:K9">
    <cfRule type="expression" dxfId="5" priority="78">
      <formula>$E7&lt;0</formula>
    </cfRule>
  </conditionalFormatting>
  <conditionalFormatting sqref="H11:L11 H39:L1048576">
    <cfRule type="expression" dxfId="4" priority="75">
      <formula>$E9&lt;0</formula>
    </cfRule>
  </conditionalFormatting>
  <conditionalFormatting sqref="L6">
    <cfRule type="expression" dxfId="3" priority="47">
      <formula>#REF!&lt;0</formula>
    </cfRule>
  </conditionalFormatting>
  <conditionalFormatting sqref="L9">
    <cfRule type="expression" dxfId="2" priority="46">
      <formula>#REF!&lt;0</formula>
    </cfRule>
  </conditionalFormatting>
  <conditionalFormatting sqref="F6:G6">
    <cfRule type="expression" dxfId="1" priority="3">
      <formula>$E6&lt;0</formula>
    </cfRule>
  </conditionalFormatting>
  <conditionalFormatting sqref="H10:K10">
    <cfRule type="expression" dxfId="0" priority="454">
      <formula>#REF!&lt;0</formula>
    </cfRule>
  </conditionalFormatting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7424" r:id="rId4" name="OptionButton6">
          <controlPr defaultSize="0" autoLine="0" linkedCell="N10" r:id="rId5">
            <anchor moveWithCells="1">
              <from>
                <xdr:col>17</xdr:col>
                <xdr:colOff>114300</xdr:colOff>
                <xdr:row>2</xdr:row>
                <xdr:rowOff>121920</xdr:rowOff>
              </from>
              <to>
                <xdr:col>17</xdr:col>
                <xdr:colOff>495300</xdr:colOff>
                <xdr:row>3</xdr:row>
                <xdr:rowOff>167640</xdr:rowOff>
              </to>
            </anchor>
          </controlPr>
        </control>
      </mc:Choice>
      <mc:Fallback>
        <control shapeId="17424" r:id="rId4" name="OptionButton6"/>
      </mc:Fallback>
    </mc:AlternateContent>
    <mc:AlternateContent xmlns:mc="http://schemas.openxmlformats.org/markup-compatibility/2006">
      <mc:Choice Requires="x14">
        <control shapeId="17423" r:id="rId6" name="OptionButton5">
          <controlPr defaultSize="0" autoLine="0" autoPict="0" linkedCell="N9" r:id="rId7">
            <anchor moveWithCells="1">
              <from>
                <xdr:col>16</xdr:col>
                <xdr:colOff>388620</xdr:colOff>
                <xdr:row>2</xdr:row>
                <xdr:rowOff>121920</xdr:rowOff>
              </from>
              <to>
                <xdr:col>17</xdr:col>
                <xdr:colOff>106680</xdr:colOff>
                <xdr:row>3</xdr:row>
                <xdr:rowOff>167640</xdr:rowOff>
              </to>
            </anchor>
          </controlPr>
        </control>
      </mc:Choice>
      <mc:Fallback>
        <control shapeId="17423" r:id="rId6" name="OptionButton5"/>
      </mc:Fallback>
    </mc:AlternateContent>
    <mc:AlternateContent xmlns:mc="http://schemas.openxmlformats.org/markup-compatibility/2006">
      <mc:Choice Requires="x14">
        <control shapeId="17419" r:id="rId8" name="OptionButton1">
          <controlPr defaultSize="0" autoLine="0" autoPict="0" linkedCell="N5" r:id="rId9">
            <anchor moveWithCells="1">
              <from>
                <xdr:col>12</xdr:col>
                <xdr:colOff>518160</xdr:colOff>
                <xdr:row>2</xdr:row>
                <xdr:rowOff>106680</xdr:rowOff>
              </from>
              <to>
                <xdr:col>13</xdr:col>
                <xdr:colOff>609600</xdr:colOff>
                <xdr:row>3</xdr:row>
                <xdr:rowOff>152400</xdr:rowOff>
              </to>
            </anchor>
          </controlPr>
        </control>
      </mc:Choice>
      <mc:Fallback>
        <control shapeId="17419" r:id="rId8" name="OptionButton1"/>
      </mc:Fallback>
    </mc:AlternateContent>
    <mc:AlternateContent xmlns:mc="http://schemas.openxmlformats.org/markup-compatibility/2006">
      <mc:Choice Requires="x14">
        <control shapeId="17420" r:id="rId10" name="OptionButton2">
          <controlPr defaultSize="0" autoLine="0" autoPict="0" linkedCell="N6" r:id="rId11">
            <anchor moveWithCells="1">
              <from>
                <xdr:col>13</xdr:col>
                <xdr:colOff>624840</xdr:colOff>
                <xdr:row>2</xdr:row>
                <xdr:rowOff>106680</xdr:rowOff>
              </from>
              <to>
                <xdr:col>14</xdr:col>
                <xdr:colOff>403860</xdr:colOff>
                <xdr:row>3</xdr:row>
                <xdr:rowOff>152400</xdr:rowOff>
              </to>
            </anchor>
          </controlPr>
        </control>
      </mc:Choice>
      <mc:Fallback>
        <control shapeId="17420" r:id="rId10" name="OptionButton2"/>
      </mc:Fallback>
    </mc:AlternateContent>
    <mc:AlternateContent xmlns:mc="http://schemas.openxmlformats.org/markup-compatibility/2006">
      <mc:Choice Requires="x14">
        <control shapeId="17421" r:id="rId12" name="OptionButton3">
          <controlPr defaultSize="0" autoLine="0" autoPict="0" linkedCell="N7" r:id="rId13">
            <anchor moveWithCells="1">
              <from>
                <xdr:col>14</xdr:col>
                <xdr:colOff>449580</xdr:colOff>
                <xdr:row>2</xdr:row>
                <xdr:rowOff>106680</xdr:rowOff>
              </from>
              <to>
                <xdr:col>15</xdr:col>
                <xdr:colOff>342900</xdr:colOff>
                <xdr:row>3</xdr:row>
                <xdr:rowOff>152400</xdr:rowOff>
              </to>
            </anchor>
          </controlPr>
        </control>
      </mc:Choice>
      <mc:Fallback>
        <control shapeId="17421" r:id="rId12" name="OptionButton3"/>
      </mc:Fallback>
    </mc:AlternateContent>
    <mc:AlternateContent xmlns:mc="http://schemas.openxmlformats.org/markup-compatibility/2006">
      <mc:Choice Requires="x14">
        <control shapeId="17422" r:id="rId14" name="OptionButton4">
          <controlPr defaultSize="0" autoLine="0" autoPict="0" linkedCell="N8" r:id="rId15">
            <anchor moveWithCells="1">
              <from>
                <xdr:col>15</xdr:col>
                <xdr:colOff>327660</xdr:colOff>
                <xdr:row>2</xdr:row>
                <xdr:rowOff>114300</xdr:rowOff>
              </from>
              <to>
                <xdr:col>16</xdr:col>
                <xdr:colOff>365760</xdr:colOff>
                <xdr:row>3</xdr:row>
                <xdr:rowOff>160020</xdr:rowOff>
              </to>
            </anchor>
          </controlPr>
        </control>
      </mc:Choice>
      <mc:Fallback>
        <control shapeId="17422" r:id="rId14" name="Option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N203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10" sqref="J10"/>
    </sheetView>
  </sheetViews>
  <sheetFormatPr defaultRowHeight="10.8"/>
  <cols>
    <col min="1" max="1" width="8.625" customWidth="1"/>
    <col min="2" max="9" width="9.875" style="2" customWidth="1"/>
    <col min="15" max="161" width="9.875" customWidth="1"/>
  </cols>
  <sheetData>
    <row r="1" spans="1:14">
      <c r="B1" s="4" t="s">
        <v>50</v>
      </c>
      <c r="C1" s="4"/>
      <c r="D1" s="4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 ht="32.4">
      <c r="B2" s="14" t="s">
        <v>26</v>
      </c>
      <c r="C2" s="14" t="s">
        <v>27</v>
      </c>
      <c r="D2" s="14" t="s">
        <v>28</v>
      </c>
      <c r="E2" s="14" t="s">
        <v>29</v>
      </c>
      <c r="F2" s="14" t="s">
        <v>45</v>
      </c>
      <c r="G2" s="14" t="s">
        <v>46</v>
      </c>
      <c r="H2" s="14" t="s">
        <v>30</v>
      </c>
      <c r="I2" s="14" t="s">
        <v>31</v>
      </c>
      <c r="J2" s="14" t="s">
        <v>32</v>
      </c>
      <c r="K2" s="14" t="s">
        <v>33</v>
      </c>
      <c r="L2" s="14" t="s">
        <v>47</v>
      </c>
      <c r="M2" s="14" t="s">
        <v>48</v>
      </c>
      <c r="N2" s="14" t="s">
        <v>49</v>
      </c>
    </row>
    <row r="3" spans="1:14">
      <c r="A3">
        <v>1</v>
      </c>
      <c r="B3" s="2">
        <v>8.8699091041253286E-3</v>
      </c>
      <c r="C3" s="2">
        <v>3.117612507258638E-2</v>
      </c>
      <c r="D3" s="2">
        <v>-3.7051394166287441E-4</v>
      </c>
      <c r="E3" s="2">
        <v>5.8243430169735634E-2</v>
      </c>
      <c r="F3" s="2">
        <v>-1.1704582366866836</v>
      </c>
      <c r="G3" s="2">
        <v>-3.5245836831331236</v>
      </c>
      <c r="H3" s="2">
        <v>1.9999999999999999E-6</v>
      </c>
      <c r="I3" s="2">
        <v>0.99820161902843729</v>
      </c>
      <c r="J3">
        <v>2.1030365201781232E-3</v>
      </c>
      <c r="K3">
        <v>6.3328429598954244E-3</v>
      </c>
      <c r="L3">
        <v>1.0063092108532552E-6</v>
      </c>
      <c r="M3">
        <v>0.63122415577658186</v>
      </c>
      <c r="N3">
        <v>2.0574957841408197</v>
      </c>
    </row>
    <row r="4" spans="1:14">
      <c r="A4">
        <v>2</v>
      </c>
      <c r="B4" s="2">
        <v>-5.5362492723365752E-3</v>
      </c>
      <c r="C4" s="2">
        <v>7.4084912151638899E-2</v>
      </c>
      <c r="D4" s="2">
        <v>-4.3339525028828962E-3</v>
      </c>
      <c r="E4" s="2">
        <v>3.3487575873588228E-2</v>
      </c>
      <c r="F4" s="2">
        <v>0.28329935745168899</v>
      </c>
      <c r="G4" s="2">
        <v>0.85146952965222678</v>
      </c>
      <c r="H4" s="2">
        <v>7.9000000000000006E-6</v>
      </c>
      <c r="I4" s="2">
        <v>0.99291521625209</v>
      </c>
      <c r="J4">
        <v>-1.9999962713950791E-3</v>
      </c>
      <c r="K4">
        <v>-6.0110827635794298E-3</v>
      </c>
      <c r="L4">
        <v>1.9999999999999999E-6</v>
      </c>
      <c r="M4">
        <v>0.46108703141975743</v>
      </c>
      <c r="N4">
        <v>1.5448804742362976</v>
      </c>
    </row>
    <row r="5" spans="1:14">
      <c r="A5">
        <v>3</v>
      </c>
      <c r="B5" s="2">
        <v>-1.9931913023314303E-3</v>
      </c>
      <c r="C5" s="2">
        <v>0.11128766883542486</v>
      </c>
      <c r="D5" s="2">
        <v>6.0294768378494198E-3</v>
      </c>
      <c r="E5" s="2">
        <v>3.6692496216248698E-2</v>
      </c>
      <c r="F5" s="2">
        <v>-0.22423925801941785</v>
      </c>
      <c r="G5" s="2">
        <v>-0.67045893931066614</v>
      </c>
      <c r="H5" s="2">
        <v>3.1204999999999997E-5</v>
      </c>
      <c r="I5" s="2">
        <v>0.9723062034557024</v>
      </c>
      <c r="J5">
        <v>6.1236441554969366E-3</v>
      </c>
      <c r="K5">
        <v>1.830924701353993E-2</v>
      </c>
      <c r="L5">
        <v>3.9749213828703582E-6</v>
      </c>
      <c r="M5">
        <v>0.29820044975238075</v>
      </c>
      <c r="N5">
        <v>1.0538766007443903</v>
      </c>
    </row>
    <row r="6" spans="1:14">
      <c r="A6">
        <v>4</v>
      </c>
      <c r="B6" s="2">
        <v>4.2519555600222759E-3</v>
      </c>
      <c r="C6" s="2">
        <v>0.1431551364771553</v>
      </c>
      <c r="D6" s="2">
        <v>4.8346971108670757E-3</v>
      </c>
      <c r="E6" s="2">
        <v>2.4729915217988997E-2</v>
      </c>
      <c r="F6" s="2">
        <v>0.17985512551882926</v>
      </c>
      <c r="G6" s="2">
        <v>0.52706236186345201</v>
      </c>
      <c r="H6" s="2">
        <v>1.2324999999999999E-4</v>
      </c>
      <c r="I6" s="2">
        <v>0.89500587185227887</v>
      </c>
      <c r="J6">
        <v>-1.787406795288023E-2</v>
      </c>
      <c r="K6">
        <v>-5.2379649699594584E-2</v>
      </c>
      <c r="L6">
        <v>7.9000000000000006E-6</v>
      </c>
      <c r="M6">
        <v>0.17241651685726561</v>
      </c>
      <c r="N6">
        <v>0.67417411570354091</v>
      </c>
    </row>
    <row r="7" spans="1:14">
      <c r="A7">
        <v>5</v>
      </c>
      <c r="B7" s="2">
        <v>7.5742871770936486E-3</v>
      </c>
      <c r="C7" s="2">
        <v>0.16108262287748479</v>
      </c>
      <c r="D7" s="2">
        <v>2.0129819567350879E-3</v>
      </c>
      <c r="E7" s="2">
        <v>1.250938101733314E-2</v>
      </c>
      <c r="F7" s="2">
        <v>-0.12004193338838798</v>
      </c>
      <c r="G7" s="2">
        <v>-0.43123492254666429</v>
      </c>
      <c r="H7" s="2">
        <v>4.8686999999999998E-4</v>
      </c>
      <c r="I7" s="2">
        <v>0.64520769904403019</v>
      </c>
      <c r="J7">
        <v>3.4484650685749574E-2</v>
      </c>
      <c r="K7">
        <v>0.12388159077215019</v>
      </c>
      <c r="L7">
        <v>1.5700939462337915E-5</v>
      </c>
      <c r="M7">
        <v>9.0587407581414175E-2</v>
      </c>
      <c r="N7">
        <v>0.42601106029946934</v>
      </c>
    </row>
    <row r="8" spans="1:14">
      <c r="A8">
        <v>6</v>
      </c>
      <c r="B8" s="2">
        <v>8.4537153961977488E-3</v>
      </c>
      <c r="C8" s="2">
        <v>0.16894324030357796</v>
      </c>
      <c r="D8" s="2">
        <v>8.9112753360995274E-5</v>
      </c>
      <c r="E8" s="2">
        <v>4.5866211153554187E-3</v>
      </c>
      <c r="F8" s="2">
        <v>9.0921705490890181E-2</v>
      </c>
      <c r="G8" s="2">
        <v>0.20986065301869017</v>
      </c>
      <c r="H8" s="2">
        <v>1.9231000000000001E-3</v>
      </c>
      <c r="I8" s="2">
        <v>0.17714441059303657</v>
      </c>
      <c r="J8">
        <v>-3.5568900721671577E-2</v>
      </c>
      <c r="K8">
        <v>-8.2098248072951713E-2</v>
      </c>
      <c r="L8">
        <v>3.1204999999999997E-5</v>
      </c>
      <c r="M8">
        <v>4.3381267324854575E-2</v>
      </c>
      <c r="N8">
        <v>0.28058186429190796</v>
      </c>
    </row>
    <row r="9" spans="1:14">
      <c r="A9">
        <v>7</v>
      </c>
      <c r="B9" s="2">
        <v>7.9036629208003445E-3</v>
      </c>
      <c r="C9" s="2">
        <v>0.17083540283059209</v>
      </c>
      <c r="D9" s="2">
        <v>-9.3973901826210535E-4</v>
      </c>
      <c r="E9" s="2">
        <v>1.4197313717481598E-4</v>
      </c>
      <c r="F9" s="2">
        <v>-6.6738875286335708E-2</v>
      </c>
      <c r="G9" s="2">
        <v>-0.19992528179701097</v>
      </c>
      <c r="H9" s="2">
        <v>7.5963999999999997E-3</v>
      </c>
      <c r="I9" s="2">
        <v>1.0735761574841767E-3</v>
      </c>
      <c r="J9">
        <v>9.7408207508687134E-3</v>
      </c>
      <c r="K9">
        <v>2.9179939356130002E-2</v>
      </c>
      <c r="L9">
        <v>6.2016257949024944E-5</v>
      </c>
      <c r="M9">
        <v>1.8453950464600501E-2</v>
      </c>
      <c r="N9">
        <v>0.1996128259556999</v>
      </c>
    </row>
    <row r="10" spans="1:14">
      <c r="A10">
        <v>8</v>
      </c>
      <c r="B10" s="2">
        <v>6.6739202071068003E-3</v>
      </c>
      <c r="C10" s="2">
        <v>0.16960259448184839</v>
      </c>
      <c r="D10" s="2">
        <v>-1.3623637505267628E-3</v>
      </c>
      <c r="E10" s="2">
        <v>-2.0132197851873957E-3</v>
      </c>
      <c r="F10" s="2">
        <v>3.6272024023542015E-2</v>
      </c>
      <c r="G10" s="2">
        <v>0.10065084582835659</v>
      </c>
      <c r="H10" s="2">
        <v>3.0006000000000001E-2</v>
      </c>
      <c r="I10" s="2">
        <v>1.869406715200079E-12</v>
      </c>
      <c r="J10">
        <v>-1.3431396692293541E-3</v>
      </c>
      <c r="K10">
        <v>-3.7270636920016102E-3</v>
      </c>
      <c r="L10">
        <v>1.2324999999999999E-4</v>
      </c>
      <c r="M10">
        <v>6.5135696966778676E-3</v>
      </c>
      <c r="N10">
        <v>0.15377787541181417</v>
      </c>
    </row>
    <row r="11" spans="1:14">
      <c r="A11">
        <v>9</v>
      </c>
      <c r="B11" s="2">
        <v>5.2396001928657863E-3</v>
      </c>
      <c r="C11" s="2">
        <v>0.16703963198231223</v>
      </c>
      <c r="D11" s="2">
        <v>-1.4129869349471704E-3</v>
      </c>
      <c r="E11" s="2">
        <v>-2.754159293287406E-3</v>
      </c>
      <c r="L11">
        <v>2.4496270634527208E-4</v>
      </c>
      <c r="M11">
        <v>1.6856861271123075E-3</v>
      </c>
      <c r="N11">
        <v>0.12451229408088391</v>
      </c>
    </row>
    <row r="12" spans="1:14">
      <c r="A12">
        <v>10</v>
      </c>
      <c r="B12" s="2">
        <v>3.8828445582943117E-3</v>
      </c>
      <c r="C12" s="2">
        <v>0.16423053107049376</v>
      </c>
      <c r="D12" s="2">
        <v>-1.2485883626770157E-3</v>
      </c>
      <c r="E12" s="2">
        <v>-2.6570101503521045E-3</v>
      </c>
      <c r="L12">
        <v>4.8686999999999998E-4</v>
      </c>
      <c r="M12">
        <v>2.6579856154160665E-4</v>
      </c>
      <c r="N12">
        <v>0.10124487989587565</v>
      </c>
    </row>
    <row r="13" spans="1:14">
      <c r="A13">
        <v>11</v>
      </c>
      <c r="B13" s="2">
        <v>2.7609833192308599E-3</v>
      </c>
      <c r="C13" s="2">
        <v>0.16180191486016368</v>
      </c>
      <c r="D13" s="2">
        <v>-9.6913953962752869E-4</v>
      </c>
      <c r="E13" s="2">
        <v>-2.0886656159213382E-3</v>
      </c>
      <c r="L13">
        <v>9.6762580422392623E-4</v>
      </c>
      <c r="M13">
        <v>2.007984392848875E-5</v>
      </c>
      <c r="N13">
        <v>7.9316492411389744E-2</v>
      </c>
    </row>
    <row r="14" spans="1:14">
      <c r="A14">
        <v>12</v>
      </c>
      <c r="B14" s="2">
        <v>1.9529842010674321E-3</v>
      </c>
      <c r="C14" s="2">
        <v>0.16009201708152648</v>
      </c>
      <c r="D14" s="2">
        <v>-6.3680897377941452E-4</v>
      </c>
      <c r="E14" s="2">
        <v>-1.2788324020278053E-3</v>
      </c>
      <c r="L14">
        <v>1.9231000000000001E-3</v>
      </c>
      <c r="M14">
        <v>5.432037310021787E-7</v>
      </c>
      <c r="N14">
        <v>5.8580656228639061E-2</v>
      </c>
    </row>
    <row r="15" spans="1:14">
      <c r="A15">
        <v>13</v>
      </c>
      <c r="B15" s="2">
        <v>1.4896245835227203E-3</v>
      </c>
      <c r="C15" s="2">
        <v>0.1592600088821933</v>
      </c>
      <c r="D15" s="2">
        <v>-2.8941643171110385E-4</v>
      </c>
      <c r="E15" s="2">
        <v>-3.689733313322593E-4</v>
      </c>
      <c r="L15">
        <v>3.8221246499819967E-3</v>
      </c>
      <c r="M15">
        <v>3.6403696936755195E-9</v>
      </c>
      <c r="N15">
        <v>4.1054464436990526E-2</v>
      </c>
    </row>
    <row r="16" spans="1:14">
      <c r="A16">
        <v>14</v>
      </c>
      <c r="B16" s="2">
        <v>1.3727838251024946E-3</v>
      </c>
      <c r="C16" s="2">
        <v>0.15935597030420978</v>
      </c>
      <c r="D16" s="2">
        <v>5.0721455670419079E-5</v>
      </c>
      <c r="E16" s="2">
        <v>5.5575226800958736E-4</v>
      </c>
      <c r="L16">
        <v>7.5963999999999997E-3</v>
      </c>
      <c r="M16">
        <v>3.6238858609149724E-12</v>
      </c>
      <c r="N16">
        <v>2.8102690695704521E-2</v>
      </c>
    </row>
    <row r="17" spans="1:14">
      <c r="A17">
        <v>15</v>
      </c>
      <c r="B17" s="2">
        <v>1.5876713217875314E-3</v>
      </c>
      <c r="C17" s="2">
        <v>0.16036538355442673</v>
      </c>
      <c r="D17" s="2">
        <v>3.7107574213980573E-4</v>
      </c>
      <c r="E17" s="2">
        <v>1.4458777426708436E-3</v>
      </c>
      <c r="L17">
        <v>1.5097601743323341E-2</v>
      </c>
      <c r="M17">
        <v>2.5562433494977279E-16</v>
      </c>
      <c r="N17">
        <v>1.9355907824039162E-2</v>
      </c>
    </row>
    <row r="18" spans="1:14">
      <c r="A18">
        <v>16</v>
      </c>
      <c r="B18" s="2">
        <v>2.1105085915521385E-3</v>
      </c>
      <c r="C18" s="2">
        <v>0.16223723051318445</v>
      </c>
      <c r="D18" s="2">
        <v>6.6523485268875371E-4</v>
      </c>
      <c r="E18" s="2">
        <v>2.2743854562117293E-3</v>
      </c>
      <c r="L18">
        <v>3.0006000000000001E-2</v>
      </c>
      <c r="M18">
        <v>4.4069733003654824E-22</v>
      </c>
      <c r="N18">
        <v>1.3553354703085069E-2</v>
      </c>
    </row>
    <row r="19" spans="1:14">
      <c r="A19">
        <v>17</v>
      </c>
      <c r="B19" s="2">
        <v>2.9132981451723428E-3</v>
      </c>
      <c r="C19" s="2">
        <v>0.16490157125116875</v>
      </c>
      <c r="D19" s="2">
        <v>9.305563577080146E-4</v>
      </c>
      <c r="E19" s="2">
        <v>3.0282208323385356E-3</v>
      </c>
    </row>
    <row r="20" spans="1:14">
      <c r="A20">
        <v>18</v>
      </c>
      <c r="B20" s="2">
        <v>3.9667321522019435E-3</v>
      </c>
      <c r="C20" s="2">
        <v>0.16828039277943571</v>
      </c>
      <c r="D20" s="2">
        <v>1.1666704525723412E-3</v>
      </c>
      <c r="E20" s="2">
        <v>3.7028716954932393E-3</v>
      </c>
    </row>
    <row r="21" spans="1:14">
      <c r="A21">
        <v>19</v>
      </c>
      <c r="B21" s="2">
        <v>5.2419185588636046E-3</v>
      </c>
      <c r="C21" s="2">
        <v>0.17229416752772367</v>
      </c>
      <c r="D21" s="2">
        <v>1.3745311493388093E-3</v>
      </c>
      <c r="E21" s="2">
        <v>4.298919948906639E-3</v>
      </c>
    </row>
    <row r="22" spans="1:14">
      <c r="A22">
        <v>20</v>
      </c>
      <c r="B22" s="2">
        <v>6.7113600811612821E-3</v>
      </c>
      <c r="C22" s="2">
        <v>0.17686569020307905</v>
      </c>
      <c r="D22" s="2">
        <v>1.5558191194566889E-3</v>
      </c>
      <c r="E22" s="2">
        <v>4.8198607122446726E-3</v>
      </c>
    </row>
    <row r="23" spans="1:14">
      <c r="A23">
        <v>21</v>
      </c>
      <c r="B23" s="2">
        <v>8.3494653532460578E-3</v>
      </c>
      <c r="C23" s="2">
        <v>0.18192220026871483</v>
      </c>
      <c r="D23" s="2">
        <v>1.7125698497921895E-3</v>
      </c>
      <c r="E23" s="2">
        <v>5.2707346164978545E-3</v>
      </c>
    </row>
    <row r="24" spans="1:14">
      <c r="A24">
        <v>22</v>
      </c>
      <c r="B24" s="2">
        <v>1.0132770932957643E-2</v>
      </c>
      <c r="C24" s="2">
        <v>0.18739643554953495</v>
      </c>
      <c r="D24" s="2">
        <v>1.8469457597474574E-3</v>
      </c>
      <c r="E24" s="2">
        <v>5.6572806135173678E-3</v>
      </c>
    </row>
    <row r="25" spans="1:14">
      <c r="A25">
        <v>23</v>
      </c>
      <c r="B25" s="2">
        <v>1.2039988128035925E-2</v>
      </c>
      <c r="C25" s="2">
        <v>0.19322702953368925</v>
      </c>
      <c r="D25" s="2">
        <v>1.9610999381505026E-3</v>
      </c>
      <c r="E25" s="2">
        <v>5.9854209183838759E-3</v>
      </c>
    </row>
    <row r="26" spans="1:14">
      <c r="A26">
        <v>24</v>
      </c>
      <c r="B26" s="2">
        <v>1.4051946976897199E-2</v>
      </c>
      <c r="C26" s="2">
        <v>0.1993585150575653</v>
      </c>
      <c r="D26" s="2">
        <v>2.0570978616485133E-3</v>
      </c>
      <c r="E26" s="2">
        <v>6.2609569283334065E-3</v>
      </c>
    </row>
    <row r="27" spans="1:14">
      <c r="A27">
        <v>25</v>
      </c>
      <c r="B27" s="2">
        <v>1.615148298372375E-2</v>
      </c>
      <c r="C27" s="2">
        <v>0.20574110072469248</v>
      </c>
      <c r="D27" s="2">
        <v>2.1368755098441E-3</v>
      </c>
      <c r="E27" s="2">
        <v>6.4893982957515929E-3</v>
      </c>
    </row>
    <row r="28" spans="1:14">
      <c r="A28">
        <v>26</v>
      </c>
      <c r="B28" s="2">
        <v>1.8323295070995775E-2</v>
      </c>
      <c r="C28" s="2">
        <v>0.21233032458127571</v>
      </c>
      <c r="D28" s="2">
        <v>2.2022200569597182E-3</v>
      </c>
      <c r="E28" s="2">
        <v>6.6758752554862489E-3</v>
      </c>
    </row>
    <row r="29" spans="1:14">
      <c r="A29">
        <v>27</v>
      </c>
      <c r="B29" s="2">
        <v>2.0553792256556503E-2</v>
      </c>
      <c r="C29" s="2">
        <v>0.21908664997424349</v>
      </c>
      <c r="D29" s="2">
        <v>2.2547643183864143E-3</v>
      </c>
      <c r="E29" s="2">
        <v>6.825102289947667E-3</v>
      </c>
    </row>
    <row r="30" spans="1:14">
      <c r="A30">
        <v>28</v>
      </c>
      <c r="B30" s="2">
        <v>2.2830939583461492E-2</v>
      </c>
      <c r="C30" s="2">
        <v>0.22597504323350179</v>
      </c>
      <c r="D30" s="2">
        <v>2.2959893455864995E-3</v>
      </c>
      <c r="E30" s="2">
        <v>6.9413727890637157E-3</v>
      </c>
    </row>
    <row r="31" spans="1:14">
      <c r="A31">
        <v>29</v>
      </c>
      <c r="B31" s="2">
        <v>2.514410940868363E-2</v>
      </c>
      <c r="C31" s="2">
        <v>0.2329645567427831</v>
      </c>
      <c r="D31" s="2">
        <v>2.3272316282825687E-3</v>
      </c>
      <c r="E31" s="2">
        <v>7.0285718032942453E-3</v>
      </c>
    </row>
    <row r="32" spans="1:14">
      <c r="A32">
        <v>30</v>
      </c>
      <c r="B32" s="2">
        <v>2.7483941375672491E-2</v>
      </c>
      <c r="C32" s="2">
        <v>0.24002793080172263</v>
      </c>
      <c r="D32" s="2">
        <v>2.3496926875047385E-3</v>
      </c>
      <c r="E32" s="2">
        <v>7.0901987655061192E-3</v>
      </c>
    </row>
    <row r="33" spans="1:5">
      <c r="A33">
        <v>31</v>
      </c>
      <c r="B33" s="2">
        <v>2.9842212665977114E-2</v>
      </c>
      <c r="C33" s="2">
        <v>0.24714122131459396</v>
      </c>
      <c r="D33" s="2">
        <v>2.3644496905637353E-3</v>
      </c>
      <c r="E33" s="2">
        <v>7.1293951190358274E-3</v>
      </c>
    </row>
    <row r="34" spans="1:5">
      <c r="A34">
        <v>32</v>
      </c>
      <c r="B34" s="2">
        <v>3.2211719066862987E-2</v>
      </c>
      <c r="C34" s="2">
        <v>0.25428345640234351</v>
      </c>
      <c r="D34" s="2">
        <v>2.3724662594095136E-3</v>
      </c>
      <c r="E34" s="2">
        <v>7.148973745776355E-3</v>
      </c>
    </row>
    <row r="35" spans="1:5">
      <c r="A35">
        <v>33</v>
      </c>
      <c r="B35" s="2">
        <v>3.4586166760770913E-2</v>
      </c>
      <c r="C35" s="2">
        <v>0.26143632264480149</v>
      </c>
      <c r="D35" s="2">
        <v>2.3746029867554234E-3</v>
      </c>
      <c r="E35" s="2">
        <v>7.1514483336453201E-3</v>
      </c>
    </row>
    <row r="36" spans="1:5">
      <c r="A36">
        <v>34</v>
      </c>
      <c r="B36" s="2">
        <v>3.696007438158181E-2</v>
      </c>
      <c r="C36" s="2">
        <v>0.26858388025372315</v>
      </c>
      <c r="D36" s="2">
        <v>2.3716273904611945E-3</v>
      </c>
      <c r="E36" s="2">
        <v>7.1390616113432915E-3</v>
      </c>
    </row>
    <row r="37" spans="1:5">
      <c r="A37">
        <v>35</v>
      </c>
      <c r="B37" s="2">
        <v>3.9328684691237945E-2</v>
      </c>
      <c r="C37" s="2">
        <v>0.2757123056914268</v>
      </c>
      <c r="D37" s="2">
        <v>2.3642231715041871E-3</v>
      </c>
      <c r="E37" s="2">
        <v>7.1138118736057002E-3</v>
      </c>
    </row>
    <row r="38" spans="1:5">
      <c r="A38">
        <v>36</v>
      </c>
      <c r="B38" s="2">
        <v>4.1687885143854783E-2</v>
      </c>
      <c r="C38" s="2">
        <v>0.28280965985139944</v>
      </c>
      <c r="D38" s="2">
        <v>2.3529987237472035E-3</v>
      </c>
      <c r="E38" s="2">
        <v>7.0774775276503136E-3</v>
      </c>
    </row>
    <row r="39" spans="1:5">
      <c r="A39">
        <v>37</v>
      </c>
      <c r="B39" s="2">
        <v>4.403413658188305E-2</v>
      </c>
      <c r="C39" s="2">
        <v>0.28986567975744687</v>
      </c>
      <c r="D39" s="2">
        <v>2.3384948934990868E-3</v>
      </c>
      <c r="E39" s="2">
        <v>7.0316395791206326E-3</v>
      </c>
    </row>
    <row r="40" spans="1:5">
      <c r="A40">
        <v>38</v>
      </c>
      <c r="B40" s="2">
        <v>4.6364409324025066E-2</v>
      </c>
      <c r="C40" s="2">
        <v>0.29687159172191141</v>
      </c>
      <c r="D40" s="2">
        <v>2.3211920156888479E-3</v>
      </c>
      <c r="E40" s="2">
        <v>6.977702087197747E-3</v>
      </c>
    </row>
    <row r="41" spans="1:5">
      <c r="A41">
        <v>39</v>
      </c>
      <c r="B41" s="2">
        <v>4.8676125940954995E-2</v>
      </c>
      <c r="C41" s="2">
        <v>0.30381994397101242</v>
      </c>
      <c r="D41" s="2">
        <v>2.3015162691192755E-3</v>
      </c>
      <c r="E41" s="2">
        <v>6.9169106817586739E-3</v>
      </c>
    </row>
    <row r="42" spans="1:5">
      <c r="A42">
        <v>40</v>
      </c>
      <c r="B42" s="2">
        <v>5.0967110062142836E-2</v>
      </c>
      <c r="C42" s="2">
        <v>0.31070445685866799</v>
      </c>
      <c r="D42" s="2">
        <v>2.2798454007176522E-3</v>
      </c>
      <c r="E42" s="2">
        <v>6.8503692684957554E-3</v>
      </c>
    </row>
    <row r="43" spans="1:5">
      <c r="A43">
        <v>41</v>
      </c>
      <c r="B43" s="2">
        <v>5.3235540608851557E-2</v>
      </c>
      <c r="C43" s="2">
        <v>0.31751988892564187</v>
      </c>
      <c r="D43" s="2">
        <v>2.2565138711441242E-3</v>
      </c>
      <c r="E43" s="2">
        <v>6.7790550622963061E-3</v>
      </c>
    </row>
    <row r="44" spans="1:5">
      <c r="A44">
        <v>42</v>
      </c>
      <c r="B44" s="2">
        <v>5.5479910900840632E-2</v>
      </c>
      <c r="C44" s="2">
        <v>0.32426191720412401</v>
      </c>
      <c r="D44" s="2">
        <v>2.2318174735775293E-3</v>
      </c>
      <c r="E44" s="2">
        <v>6.7038320922593883E-3</v>
      </c>
    </row>
    <row r="45" spans="1:5">
      <c r="A45">
        <v>43</v>
      </c>
      <c r="B45" s="2">
        <v>5.7698992135212381E-2</v>
      </c>
      <c r="C45" s="2">
        <v>0.33092703031027321</v>
      </c>
      <c r="D45" s="2">
        <v>2.2060174752551753E-3</v>
      </c>
      <c r="E45" s="2">
        <v>6.6254633181607155E-3</v>
      </c>
    </row>
    <row r="46" spans="1:5">
      <c r="A46">
        <v>44</v>
      </c>
      <c r="B46" s="2">
        <v>5.9891800783940477E-2</v>
      </c>
      <c r="C46" s="2">
        <v>0.33751243300384809</v>
      </c>
      <c r="D46" s="2">
        <v>2.1793443282000602E-3</v>
      </c>
      <c r="E46" s="2">
        <v>6.5446214909070507E-3</v>
      </c>
    </row>
    <row r="47" spans="1:5">
      <c r="A47">
        <v>45</v>
      </c>
      <c r="B47" s="2">
        <v>6.2057569501319985E-2</v>
      </c>
      <c r="C47" s="2">
        <v>0.34401596102223758</v>
      </c>
      <c r="D47" s="2">
        <v>2.1520009920236189E-3</v>
      </c>
      <c r="E47" s="2">
        <v>6.4618988803839383E-3</v>
      </c>
    </row>
    <row r="48" spans="1:5">
      <c r="A48">
        <v>46</v>
      </c>
      <c r="B48" s="2">
        <v>6.4195721173640335E-2</v>
      </c>
      <c r="C48" s="2">
        <v>0.35043600511470802</v>
      </c>
      <c r="D48" s="2">
        <v>2.1241659080463624E-3</v>
      </c>
      <c r="E48" s="2">
        <v>6.3778159842249995E-3</v>
      </c>
    </row>
    <row r="49" spans="1:5">
      <c r="A49">
        <v>47</v>
      </c>
      <c r="B49" s="2">
        <v>6.6305845780818634E-2</v>
      </c>
      <c r="C49" s="2">
        <v>0.35677144331122973</v>
      </c>
      <c r="D49" s="2">
        <v>2.0959956604109879E-3</v>
      </c>
      <c r="E49" s="2">
        <v>6.2928293210969309E-3</v>
      </c>
    </row>
    <row r="50" spans="1:5">
      <c r="A50">
        <v>48</v>
      </c>
      <c r="B50" s="2">
        <v>6.838767977367638E-2</v>
      </c>
      <c r="C50" s="2">
        <v>0.36302158055895406</v>
      </c>
      <c r="D50" s="2">
        <v>2.0676273564726902E-3</v>
      </c>
      <c r="E50" s="2">
        <v>6.2073384024968394E-3</v>
      </c>
    </row>
    <row r="51" spans="1:5">
      <c r="A51">
        <v>49</v>
      </c>
      <c r="B51" s="2">
        <v>7.0441087701203747E-2</v>
      </c>
      <c r="C51" s="2">
        <v>0.36918609494878218</v>
      </c>
      <c r="D51" s="2">
        <v>2.0391807555905157E-3</v>
      </c>
      <c r="E51" s="2">
        <v>6.1216919680127857E-3</v>
      </c>
    </row>
    <row r="52" spans="1:5">
      <c r="A52">
        <v>50</v>
      </c>
      <c r="B52" s="2">
        <v>7.246604584978264E-2</v>
      </c>
      <c r="C52" s="2">
        <v>0.37526498983511014</v>
      </c>
      <c r="D52" s="2">
        <v>2.0107601725328278E-3</v>
      </c>
      <c r="E52" s="2">
        <v>6.0361935606083415E-3</v>
      </c>
    </row>
    <row r="53" spans="1:5">
      <c r="A53">
        <v>51</v>
      </c>
      <c r="B53" s="2">
        <v>7.4462627681183724E-2</v>
      </c>
      <c r="C53" s="2">
        <v>0.38125855122443142</v>
      </c>
      <c r="D53" s="2">
        <v>1.9824561790519456E-3</v>
      </c>
      <c r="E53" s="2">
        <v>5.9511065107932222E-3</v>
      </c>
    </row>
    <row r="54" spans="1:5">
      <c r="A54">
        <v>52</v>
      </c>
      <c r="B54" s="2">
        <v>7.643099087845899E-2</v>
      </c>
      <c r="C54" s="2">
        <v>0.387167309873722</v>
      </c>
      <c r="D54" s="2">
        <v>1.9543471247700627E-3</v>
      </c>
      <c r="E54" s="2">
        <v>5.8666583915291922E-3</v>
      </c>
    </row>
    <row r="55" spans="1:5">
      <c r="A55">
        <v>53</v>
      </c>
      <c r="B55" s="2">
        <v>7.8371365828867015E-2</v>
      </c>
      <c r="C55" s="2">
        <v>0.39299200759809383</v>
      </c>
      <c r="D55" s="2">
        <v>1.926500496336985E-3</v>
      </c>
      <c r="E55" s="2">
        <v>5.7830449993650761E-3</v>
      </c>
    </row>
    <row r="56" spans="1:5">
      <c r="A56">
        <v>54</v>
      </c>
      <c r="B56" s="2">
        <v>8.0284045390910053E-2</v>
      </c>
      <c r="C56" s="2">
        <v>0.39873356733973203</v>
      </c>
      <c r="D56" s="2">
        <v>1.8989741318535928E-3</v>
      </c>
      <c r="E56" s="2">
        <v>5.7004339115558208E-3</v>
      </c>
    </row>
    <row r="57" spans="1:5">
      <c r="A57">
        <v>55</v>
      </c>
      <c r="B57" s="2">
        <v>8.216937580864056E-2</v>
      </c>
      <c r="C57" s="2">
        <v>0.40439306659720864</v>
      </c>
      <c r="D57" s="2">
        <v>1.8718173057856386E-3</v>
      </c>
      <c r="E57" s="2">
        <v>5.6189676637513168E-3</v>
      </c>
    </row>
    <row r="58" spans="1:5">
      <c r="A58">
        <v>56</v>
      </c>
      <c r="B58" s="2">
        <v>8.4027748650795819E-2</v>
      </c>
      <c r="C58" s="2">
        <v>0.40997171385644654</v>
      </c>
      <c r="D58" s="2">
        <v>1.8450716980031186E-3</v>
      </c>
      <c r="E58" s="2">
        <v>5.5387665881932681E-3</v>
      </c>
    </row>
    <row r="59" spans="1:5">
      <c r="A59">
        <v>57</v>
      </c>
      <c r="B59" s="2">
        <v>8.5859593665215256E-2</v>
      </c>
      <c r="C59" s="2">
        <v>0.41547082770237975</v>
      </c>
      <c r="D59" s="2">
        <v>1.8187722591542059E-3</v>
      </c>
      <c r="E59" s="2">
        <v>5.4599313481852674E-3</v>
      </c>
    </row>
    <row r="60" spans="1:5">
      <c r="A60">
        <v>58</v>
      </c>
      <c r="B60" s="2">
        <v>8.7665372450542844E-2</v>
      </c>
      <c r="C60" s="2">
        <v>0.42089181832418882</v>
      </c>
      <c r="D60" s="2">
        <v>1.7929479833037739E-3</v>
      </c>
      <c r="E60" s="2">
        <v>5.3825452008575752E-3</v>
      </c>
    </row>
    <row r="61" spans="1:5">
      <c r="A61">
        <v>59</v>
      </c>
      <c r="B61" s="2">
        <v>8.9445572857550004E-2</v>
      </c>
      <c r="C61" s="2">
        <v>0.42623617115726253</v>
      </c>
      <c r="D61" s="2">
        <v>1.7676225976203603E-3</v>
      </c>
      <c r="E61" s="2">
        <v>5.3066760168919338E-3</v>
      </c>
    </row>
    <row r="62" spans="1:5">
      <c r="A62">
        <v>60</v>
      </c>
      <c r="B62" s="2">
        <v>9.1200704041669273E-2</v>
      </c>
      <c r="C62" s="2">
        <v>0.43150543243215317</v>
      </c>
      <c r="D62" s="2">
        <v>1.7428151778685825E-3</v>
      </c>
      <c r="E62" s="2">
        <v>5.2323780828644325E-3</v>
      </c>
    </row>
    <row r="63" spans="1:5">
      <c r="A63">
        <v>61</v>
      </c>
      <c r="B63" s="2">
        <v>9.2931292096607165E-2</v>
      </c>
      <c r="C63" s="2">
        <v>0.43670119642504696</v>
      </c>
      <c r="D63" s="2">
        <v>1.7185406975443612E-3</v>
      </c>
      <c r="E63" s="2">
        <v>5.1596937091705364E-3</v>
      </c>
    </row>
    <row r="64" spans="1:5">
      <c r="A64">
        <v>62</v>
      </c>
      <c r="B64" s="2">
        <v>9.4637876206315807E-2</v>
      </c>
      <c r="C64" s="2">
        <v>0.44182509422599153</v>
      </c>
      <c r="D64" s="2">
        <v>1.6948105176668436E-3</v>
      </c>
      <c r="E64" s="2">
        <v>5.0886546640840549E-3</v>
      </c>
    </row>
    <row r="65" spans="1:5">
      <c r="A65">
        <v>63</v>
      </c>
      <c r="B65" s="2">
        <v>9.6321005259233899E-2</v>
      </c>
      <c r="C65" s="2">
        <v>0.4468787838605438</v>
      </c>
      <c r="D65" s="2">
        <v>1.6716328235036641E-3</v>
      </c>
      <c r="E65" s="2">
        <v>5.0192834523417086E-3</v>
      </c>
    </row>
    <row r="66" spans="1:5">
      <c r="A66">
        <v>64</v>
      </c>
      <c r="B66" s="2">
        <v>9.7981234874644593E-2</v>
      </c>
      <c r="C66" s="2">
        <v>0.45186394161790827</v>
      </c>
      <c r="D66" s="2">
        <v>1.6490130138461965E-3</v>
      </c>
      <c r="E66" s="2">
        <v>4.9515944547113564E-3</v>
      </c>
    </row>
    <row r="67" spans="1:5">
      <c r="A67">
        <v>65</v>
      </c>
      <c r="B67" s="2">
        <v>9.9619124796302971E-2</v>
      </c>
      <c r="C67" s="2">
        <v>0.45678225445417153</v>
      </c>
      <c r="D67" s="2">
        <v>1.6269540478606741E-3</v>
      </c>
      <c r="E67" s="2">
        <v>4.8855949432707706E-3</v>
      </c>
    </row>
    <row r="68" spans="1:5">
      <c r="A68">
        <v>66</v>
      </c>
      <c r="B68" s="2">
        <v>0.101235236613245</v>
      </c>
      <c r="C68" s="2">
        <v>0.46163541335319158</v>
      </c>
      <c r="D68" s="2">
        <v>1.6054567540122826E-3</v>
      </c>
      <c r="E68" s="2">
        <v>4.8212859855745471E-3</v>
      </c>
    </row>
    <row r="69" spans="1:5">
      <c r="A69">
        <v>67</v>
      </c>
      <c r="B69" s="2">
        <v>0.10283013177193322</v>
      </c>
      <c r="C69" s="2">
        <v>0.46642510754013006</v>
      </c>
      <c r="D69" s="2">
        <v>1.5845201050860578E-3</v>
      </c>
      <c r="E69" s="2">
        <v>4.7586632494998208E-3</v>
      </c>
    </row>
    <row r="70" spans="1:5">
      <c r="A70">
        <v>68</v>
      </c>
      <c r="B70" s="2">
        <v>0.10440436984770614</v>
      </c>
      <c r="C70" s="2">
        <v>0.47115301945378707</v>
      </c>
      <c r="D70" s="2">
        <v>1.5641414629048239E-3</v>
      </c>
      <c r="E70" s="2">
        <v>4.6977177193203313E-3</v>
      </c>
    </row>
    <row r="71" spans="1:5">
      <c r="A71">
        <v>69</v>
      </c>
      <c r="B71" s="2">
        <v>0.10595850704689687</v>
      </c>
      <c r="C71" s="2">
        <v>0.47582082039385559</v>
      </c>
      <c r="D71" s="2">
        <v>1.5443167959653243E-3</v>
      </c>
      <c r="E71" s="2">
        <v>4.6384363324473979E-3</v>
      </c>
    </row>
    <row r="72" spans="1:5">
      <c r="A72">
        <v>70</v>
      </c>
      <c r="B72" s="2">
        <v>0.1074930949140338</v>
      </c>
      <c r="C72" s="2">
        <v>0.48043016676814099</v>
      </c>
      <c r="D72" s="2">
        <v>1.5250408728744204E-3</v>
      </c>
      <c r="E72" s="2">
        <v>4.5808025452822639E-3</v>
      </c>
    </row>
    <row r="73" spans="1:5">
      <c r="A73">
        <v>71</v>
      </c>
      <c r="B73" s="2">
        <v>0.1090086792212612</v>
      </c>
      <c r="C73" s="2">
        <v>0.4849826968727794</v>
      </c>
      <c r="D73" s="2">
        <v>1.5063074341636026E-3</v>
      </c>
      <c r="E73" s="2">
        <v>4.5247968357344783E-3</v>
      </c>
    </row>
    <row r="74" spans="1:5">
      <c r="A74">
        <v>72</v>
      </c>
      <c r="B74" s="2">
        <v>0.11050579901955275</v>
      </c>
      <c r="C74" s="2">
        <v>0.48948002814561886</v>
      </c>
      <c r="D74" s="2">
        <v>1.488109344788316E-3</v>
      </c>
      <c r="E74" s="2">
        <v>4.4703971491646894E-3</v>
      </c>
    </row>
    <row r="75" spans="1:5">
      <c r="A75">
        <v>73</v>
      </c>
      <c r="B75" s="2">
        <v>0.1119849858334739</v>
      </c>
      <c r="C75" s="2">
        <v>0.49392375483932827</v>
      </c>
      <c r="D75" s="2">
        <v>1.4704387293754605E-3</v>
      </c>
      <c r="E75" s="2">
        <v>4.4175792937977375E-3</v>
      </c>
    </row>
    <row r="76" spans="1:5">
      <c r="A76">
        <v>74</v>
      </c>
      <c r="B76" s="2">
        <v>0.1134467629831984</v>
      </c>
      <c r="C76" s="2">
        <v>0.49831544606650729</v>
      </c>
      <c r="D76" s="2">
        <v>1.4532870920647876E-3</v>
      </c>
      <c r="E76" s="2">
        <v>4.366317291014144E-3</v>
      </c>
    </row>
    <row r="77" spans="1:5">
      <c r="A77">
        <v>75</v>
      </c>
      <c r="B77" s="2">
        <v>0.11489164501922769</v>
      </c>
      <c r="C77" s="2">
        <v>0.50265664417418188</v>
      </c>
      <c r="D77" s="2">
        <v>1.4366454225951727E-3</v>
      </c>
      <c r="E77" s="2">
        <v>4.3165836853574563E-3</v>
      </c>
    </row>
    <row r="78" spans="1:5">
      <c r="A78">
        <v>76</v>
      </c>
      <c r="B78" s="2">
        <v>0.11632013725682601</v>
      </c>
      <c r="C78" s="2">
        <v>0.50694886340964929</v>
      </c>
      <c r="D78" s="2">
        <v>1.4205042901124963E-3</v>
      </c>
      <c r="E78" s="2">
        <v>4.2683498185843091E-3</v>
      </c>
    </row>
    <row r="79" spans="1:5">
      <c r="A79">
        <v>77</v>
      </c>
      <c r="B79" s="2">
        <v>0.11773273539857508</v>
      </c>
      <c r="C79" s="2">
        <v>0.51119358884371813</v>
      </c>
      <c r="D79" s="2">
        <v>1.4048539260198927E-3</v>
      </c>
      <c r="E79" s="2">
        <v>4.221586071626952E-3</v>
      </c>
    </row>
    <row r="80" spans="1:5">
      <c r="A80">
        <v>78</v>
      </c>
      <c r="B80" s="2">
        <v>0.11912992523470683</v>
      </c>
      <c r="C80" s="2">
        <v>0.51539227552105449</v>
      </c>
      <c r="D80" s="2">
        <v>1.3896842970516014E-3</v>
      </c>
      <c r="E80" s="2">
        <v>4.1762620779292143E-3</v>
      </c>
    </row>
    <row r="81" spans="1:5">
      <c r="A81">
        <v>79</v>
      </c>
      <c r="B81" s="2">
        <v>0.12051218241198161</v>
      </c>
      <c r="C81" s="2">
        <v>0.5195463478106096</v>
      </c>
      <c r="D81" s="2">
        <v>1.3749851696267623E-3</v>
      </c>
      <c r="E81" s="2">
        <v>4.1323469112508355E-3</v>
      </c>
    </row>
    <row r="82" spans="1:5">
      <c r="A82">
        <v>80</v>
      </c>
      <c r="B82" s="2">
        <v>0.12187997226288501</v>
      </c>
      <c r="C82" s="2">
        <v>0.52365719893203455</v>
      </c>
      <c r="D82" s="2">
        <v>1.3607461664277747E-3</v>
      </c>
      <c r="E82" s="2">
        <v>4.0898092507077408E-3</v>
      </c>
    </row>
    <row r="83" spans="1:5">
      <c r="A83">
        <v>81</v>
      </c>
      <c r="B83" s="2">
        <v>0.12323374968780443</v>
      </c>
      <c r="C83" s="2">
        <v>0.52772619063660087</v>
      </c>
      <c r="D83" s="2">
        <v>1.3469568160478452E-3</v>
      </c>
      <c r="E83" s="2">
        <v>4.0486175255228215E-3</v>
      </c>
    </row>
    <row r="84" spans="1:5">
      <c r="A84">
        <v>82</v>
      </c>
      <c r="B84" s="2">
        <v>0.12457395908364584</v>
      </c>
      <c r="C84" s="2">
        <v>0.53175465302348457</v>
      </c>
      <c r="D84" s="2">
        <v>1.3336065964628893E-3</v>
      </c>
      <c r="E84" s="2">
        <v>4.0087400416996275E-3</v>
      </c>
    </row>
    <row r="85" spans="1:5">
      <c r="A85">
        <v>83</v>
      </c>
      <c r="B85" s="2">
        <v>0.12590103431306704</v>
      </c>
      <c r="C85" s="2">
        <v>0.53574388447436394</v>
      </c>
      <c r="D85" s="2">
        <v>1.3206849730029082E-3</v>
      </c>
      <c r="E85" s="2">
        <v>3.9701450925968438E-3</v>
      </c>
    </row>
    <row r="86" spans="1:5">
      <c r="A86">
        <v>84</v>
      </c>
      <c r="B86" s="2">
        <v>0.12721539870913759</v>
      </c>
      <c r="C86" s="2">
        <v>0.5396951516911469</v>
      </c>
      <c r="D86" s="2">
        <v>1.3081814314263277E-3</v>
      </c>
      <c r="E86" s="2">
        <v>3.9328010551714903E-3</v>
      </c>
    </row>
    <row r="87" spans="1:5">
      <c r="A87">
        <v>85</v>
      </c>
      <c r="B87" s="2">
        <v>0.12851746511080989</v>
      </c>
      <c r="C87" s="2">
        <v>0.54360968982331714</v>
      </c>
      <c r="D87" s="2">
        <v>1.2960855066367102E-3</v>
      </c>
      <c r="E87" s="2">
        <v>3.8966764734710601E-3</v>
      </c>
    </row>
    <row r="88" spans="1:5">
      <c r="A88">
        <v>86</v>
      </c>
      <c r="B88" s="2">
        <v>0.12980763592509367</v>
      </c>
      <c r="C88" s="2">
        <v>0.5474887026728823</v>
      </c>
      <c r="D88" s="2">
        <v>1.2843868075239255E-3</v>
      </c>
      <c r="E88" s="2">
        <v>3.8617401307867913E-3</v>
      </c>
    </row>
    <row r="89" spans="1:5">
      <c r="A89">
        <v>87</v>
      </c>
      <c r="B89" s="2">
        <v>0.13108630321228104</v>
      </c>
      <c r="C89" s="2">
        <v>0.55133336296623625</v>
      </c>
      <c r="D89" s="2">
        <v>1.2730750383605439E-3</v>
      </c>
      <c r="E89" s="2">
        <v>3.8279611117299473E-3</v>
      </c>
    </row>
    <row r="90" spans="1:5">
      <c r="A90">
        <v>88</v>
      </c>
      <c r="B90" s="2">
        <v>0.13235384879097717</v>
      </c>
      <c r="C90" s="2">
        <v>0.55514481268344662</v>
      </c>
      <c r="D90" s="2">
        <v>1.2621400171383538E-3</v>
      </c>
      <c r="E90" s="2">
        <v>3.795308855358526E-3</v>
      </c>
    </row>
    <row r="91" spans="1:5">
      <c r="A91">
        <v>89</v>
      </c>
      <c r="B91" s="2">
        <v>0.13361064436005585</v>
      </c>
      <c r="C91" s="2">
        <v>0.55892416343653872</v>
      </c>
      <c r="D91" s="2">
        <v>1.2515716911888435E-3</v>
      </c>
      <c r="E91" s="2">
        <v>3.7637532003615345E-3</v>
      </c>
    </row>
    <row r="92" spans="1:5">
      <c r="A92">
        <v>90</v>
      </c>
      <c r="B92" s="2">
        <v>0.13485705163498266</v>
      </c>
      <c r="C92" s="2">
        <v>0.56267249688930177</v>
      </c>
      <c r="D92" s="2">
        <v>1.2413601503947385E-3</v>
      </c>
      <c r="E92" s="2">
        <v>3.7332644232003207E-3</v>
      </c>
    </row>
    <row r="93" spans="1:5">
      <c r="A93">
        <v>91</v>
      </c>
      <c r="B93" s="2">
        <v>0.13609342249623904</v>
      </c>
      <c r="C93" s="2">
        <v>0.56639086521198945</v>
      </c>
      <c r="D93" s="2">
        <v>1.2314956382668695E-3</v>
      </c>
      <c r="E93" s="2">
        <v>3.7038132700102306E-3</v>
      </c>
    </row>
    <row r="94" spans="1:5">
      <c r="A94">
        <v>92</v>
      </c>
      <c r="B94" s="2">
        <v>0.13732009914783963</v>
      </c>
      <c r="C94" s="2">
        <v>0.5700802915650468</v>
      </c>
      <c r="D94" s="2">
        <v>1.2219685611312354E-3</v>
      </c>
      <c r="E94" s="2">
        <v>3.6753709829797322E-3</v>
      </c>
    </row>
    <row r="95" spans="1:5">
      <c r="A95">
        <v>93</v>
      </c>
      <c r="B95" s="2">
        <v>0.13853741428416724</v>
      </c>
      <c r="C95" s="2">
        <v>0.57374177060667775</v>
      </c>
      <c r="D95" s="2">
        <v>1.2127694956448412E-3</v>
      </c>
      <c r="E95" s="2">
        <v>3.6479093218471283E-3</v>
      </c>
    </row>
    <row r="96" spans="1:5">
      <c r="A96">
        <v>94</v>
      </c>
      <c r="B96" s="2">
        <v>0.13974569126355446</v>
      </c>
      <c r="C96" s="2">
        <v>0.57737626901966033</v>
      </c>
      <c r="D96" s="2">
        <v>1.2038891948353981E-3</v>
      </c>
      <c r="E96" s="2">
        <v>3.6214005810861257E-3</v>
      </c>
    </row>
    <row r="97" spans="1:5">
      <c r="A97">
        <v>95</v>
      </c>
      <c r="B97" s="2">
        <v>0.14094524428722649</v>
      </c>
      <c r="C97" s="2">
        <v>0.58098472605336882</v>
      </c>
      <c r="D97" s="2">
        <v>1.19531859283893E-3</v>
      </c>
      <c r="E97" s="2">
        <v>3.5958176032899122E-3</v>
      </c>
    </row>
    <row r="98" spans="1:5">
      <c r="A98">
        <v>96</v>
      </c>
      <c r="B98" s="2">
        <v>0.14213637858238387</v>
      </c>
      <c r="C98" s="2">
        <v>0.58456805407743329</v>
      </c>
      <c r="D98" s="2">
        <v>1.1870488084905382E-3</v>
      </c>
      <c r="E98" s="2">
        <v>3.5711337892082684E-3</v>
      </c>
    </row>
    <row r="99" spans="1:5">
      <c r="A99">
        <v>97</v>
      </c>
      <c r="B99" s="2">
        <v>0.14331939058835033</v>
      </c>
      <c r="C99" s="2">
        <v>0.58812713914390369</v>
      </c>
      <c r="D99" s="2">
        <v>1.1790711479067598E-3</v>
      </c>
      <c r="E99" s="2">
        <v>3.5473231048430654E-3</v>
      </c>
    </row>
    <row r="100" spans="1:5">
      <c r="A100">
        <v>98</v>
      </c>
      <c r="B100" s="2">
        <v>0.14449456814484096</v>
      </c>
      <c r="C100" s="2">
        <v>0.59166284155516247</v>
      </c>
      <c r="D100" s="2">
        <v>1.1713771061829168E-3</v>
      </c>
      <c r="E100" s="2">
        <v>3.5243600859633374E-3</v>
      </c>
    </row>
    <row r="101" spans="1:5">
      <c r="A101">
        <v>99</v>
      </c>
      <c r="B101" s="2">
        <v>0.14566219068152203</v>
      </c>
      <c r="C101" s="2">
        <v>0.5951759964351685</v>
      </c>
      <c r="D101" s="2">
        <v>1.1639583683154208E-3</v>
      </c>
      <c r="E101" s="2">
        <v>3.5022198403618587E-3</v>
      </c>
    </row>
    <row r="102" spans="1:5">
      <c r="A102">
        <v>100</v>
      </c>
      <c r="B102" s="2">
        <v>0.14682252940814061</v>
      </c>
      <c r="C102" s="2">
        <v>0.59866741430193204</v>
      </c>
      <c r="D102" s="2">
        <v>1.1568068094469706E-3</v>
      </c>
      <c r="E102" s="2">
        <v>3.4808780481398356E-3</v>
      </c>
    </row>
    <row r="103" spans="1:5">
      <c r="A103">
        <v>101</v>
      </c>
      <c r="B103" s="2">
        <v>0.14797584750458992</v>
      </c>
      <c r="C103" s="2">
        <v>0.60213788163937265</v>
      </c>
      <c r="D103" s="2">
        <v>1.1499144945218442E-3</v>
      </c>
      <c r="E103" s="2">
        <v>3.4603109602749566E-3</v>
      </c>
    </row>
    <row r="104" spans="1:5">
      <c r="A104">
        <v>102</v>
      </c>
      <c r="B104" s="2">
        <v>0.14912240031036153</v>
      </c>
      <c r="C104" s="2">
        <v>0.60558816146696559</v>
      </c>
      <c r="D104" s="2">
        <v>1.1432736774288793E-3</v>
      </c>
      <c r="E104" s="2">
        <v>3.4404953956998119E-3</v>
      </c>
    </row>
    <row r="105" spans="1:5">
      <c r="A105">
        <v>103</v>
      </c>
      <c r="B105" s="2">
        <v>0.15026243551290855</v>
      </c>
      <c r="C105" s="2">
        <v>0.60901899390579117</v>
      </c>
      <c r="D105" s="2">
        <v>1.1368767997011657E-3</v>
      </c>
      <c r="E105" s="2">
        <v>3.4214087370926629E-3</v>
      </c>
    </row>
    <row r="106" spans="1:5">
      <c r="A106">
        <v>104</v>
      </c>
      <c r="B106" s="2">
        <v>0.15139619333450763</v>
      </c>
      <c r="C106" s="2">
        <v>0.6124310967397929</v>
      </c>
      <c r="D106" s="2">
        <v>1.1307164888337885E-3</v>
      </c>
      <c r="E106" s="2">
        <v>3.403028925559977E-3</v>
      </c>
    </row>
    <row r="107" spans="1:5">
      <c r="A107">
        <v>105</v>
      </c>
      <c r="B107" s="2">
        <v>0.15252390671726607</v>
      </c>
      <c r="C107" s="2">
        <v>0.61582516597121617</v>
      </c>
      <c r="D107" s="2">
        <v>1.1247855562741267E-3</v>
      </c>
      <c r="E107" s="2">
        <v>3.3853344543701633E-3</v>
      </c>
    </row>
    <row r="108" spans="1:5">
      <c r="A108">
        <v>106</v>
      </c>
      <c r="B108" s="2">
        <v>0.15364580150597307</v>
      </c>
      <c r="C108" s="2">
        <v>0.61920187636936019</v>
      </c>
      <c r="D108" s="2">
        <v>1.1190769951330789E-3</v>
      </c>
      <c r="E108" s="2">
        <v>3.368304361879943E-3</v>
      </c>
    </row>
    <row r="109" spans="1:5">
      <c r="A109">
        <v>107</v>
      </c>
      <c r="B109" s="2">
        <v>0.15476209662853649</v>
      </c>
      <c r="C109" s="2">
        <v>0.62256188201189033</v>
      </c>
      <c r="D109" s="2">
        <v>1.1135839776601258E-3</v>
      </c>
      <c r="E109" s="2">
        <v>3.3519182237788333E-3</v>
      </c>
    </row>
    <row r="110" spans="1:5">
      <c r="A110">
        <v>108</v>
      </c>
      <c r="B110" s="2">
        <v>0.15587300427378989</v>
      </c>
      <c r="C110" s="2">
        <v>0.62590581681809487</v>
      </c>
      <c r="D110" s="2">
        <v>1.1082998525202567E-3</v>
      </c>
      <c r="E110" s="2">
        <v>3.3361561447628821E-3</v>
      </c>
    </row>
    <row r="111" spans="1:5">
      <c r="A111">
        <v>109</v>
      </c>
      <c r="B111" s="2">
        <v>0.15697873006648955</v>
      </c>
      <c r="C111" s="2">
        <v>0.62923429507356388</v>
      </c>
      <c r="D111" s="2">
        <v>1.1032181419064256E-3</v>
      </c>
      <c r="E111" s="2">
        <v>3.3209987497360492E-3</v>
      </c>
    </row>
    <row r="112" spans="1:5">
      <c r="A112">
        <v>110</v>
      </c>
      <c r="B112" s="2">
        <v>0.1580794732393507</v>
      </c>
      <c r="C112" s="2">
        <v>0.63254791194586124</v>
      </c>
      <c r="D112" s="2">
        <v>1.0983325385173161E-3</v>
      </c>
      <c r="E112" s="2">
        <v>3.3064271746262226E-3</v>
      </c>
    </row>
    <row r="113" spans="1:5">
      <c r="A113">
        <v>111</v>
      </c>
      <c r="B113" s="2">
        <v>0.15917542680200461</v>
      </c>
      <c r="C113" s="2">
        <v>0.63584724399084902</v>
      </c>
      <c r="D113" s="2">
        <v>1.0936369024267135E-3</v>
      </c>
      <c r="E113" s="2">
        <v>3.2924230568926907E-3</v>
      </c>
    </row>
    <row r="114" spans="1:5">
      <c r="A114">
        <v>112</v>
      </c>
      <c r="B114" s="2">
        <v>0.16026677770677805</v>
      </c>
      <c r="C114" s="2">
        <v>0.63913284964938755</v>
      </c>
      <c r="D114" s="2">
        <v>1.0891252578676938E-3</v>
      </c>
      <c r="E114" s="2">
        <v>3.2789685257928222E-3</v>
      </c>
    </row>
    <row r="115" spans="1:5">
      <c r="A115">
        <v>113</v>
      </c>
      <c r="B115" s="2">
        <v>0.16135370701122154</v>
      </c>
      <c r="C115" s="2">
        <v>0.6424052697342002</v>
      </c>
      <c r="D115" s="2">
        <v>1.0847917899520654E-3</v>
      </c>
      <c r="E115" s="2">
        <v>3.2660461924676055E-3</v>
      </c>
    </row>
    <row r="116" spans="1:5">
      <c r="A116">
        <v>114</v>
      </c>
      <c r="B116" s="2">
        <v>0.16243639003733035</v>
      </c>
      <c r="C116" s="2">
        <v>0.64566502790675429</v>
      </c>
      <c r="D116" s="2">
        <v>1.080630841343041E-3</v>
      </c>
      <c r="E116" s="2">
        <v>3.2536391398984795E-3</v>
      </c>
    </row>
    <row r="117" spans="1:5">
      <c r="A117">
        <v>115</v>
      </c>
      <c r="B117" s="2">
        <v>0.1635149965274213</v>
      </c>
      <c r="C117" s="2">
        <v>0.64891263114404729</v>
      </c>
      <c r="D117" s="2">
        <v>1.0766369088969188E-3</v>
      </c>
      <c r="E117" s="2">
        <v>3.2417309127814866E-3</v>
      </c>
    </row>
    <row r="118" spans="1:5">
      <c r="A118">
        <v>116</v>
      </c>
      <c r="B118" s="2">
        <v>0.16458969079663988</v>
      </c>
      <c r="C118" s="2">
        <v>0.65214857019524397</v>
      </c>
      <c r="D118" s="2">
        <v>1.0728046402875928E-3</v>
      </c>
      <c r="E118" s="2">
        <v>3.2303055073589926E-3</v>
      </c>
    </row>
    <row r="119" spans="1:5">
      <c r="A119">
        <v>117</v>
      </c>
      <c r="B119" s="2">
        <v>0.16566063188208699</v>
      </c>
      <c r="C119" s="2">
        <v>0.65537332002813053</v>
      </c>
      <c r="D119" s="2">
        <v>1.0691288306259653E-3</v>
      </c>
      <c r="E119" s="2">
        <v>3.2193473612441561E-3</v>
      </c>
    </row>
    <row r="120" spans="1:5">
      <c r="A120">
        <v>118</v>
      </c>
      <c r="B120" s="2">
        <v>0.16672797368856712</v>
      </c>
      <c r="C120" s="2">
        <v>0.65858734026540433</v>
      </c>
      <c r="D120" s="2">
        <v>1.0656044190847976E-3</v>
      </c>
      <c r="E120" s="2">
        <v>3.2088413432688045E-3</v>
      </c>
    </row>
    <row r="121" spans="1:5">
      <c r="A121">
        <v>119</v>
      </c>
      <c r="B121" s="2">
        <v>0.16779186513096661</v>
      </c>
      <c r="C121" s="2">
        <v>0.66179107561083217</v>
      </c>
      <c r="D121" s="2">
        <v>1.0622264855381215E-3</v>
      </c>
      <c r="E121" s="2">
        <v>3.1987727433812362E-3</v>
      </c>
    </row>
    <row r="122" spans="1:5">
      <c r="A122">
        <v>120</v>
      </c>
      <c r="B122" s="2">
        <v>0.16885245027328136</v>
      </c>
      <c r="C122" s="2">
        <v>0.66498495626533582</v>
      </c>
      <c r="D122" s="2">
        <v>1.0589902472231438E-3</v>
      </c>
      <c r="E122" s="2">
        <v>3.1891272626170027E-3</v>
      </c>
    </row>
    <row r="123" spans="1:5">
      <c r="A123">
        <v>121</v>
      </c>
      <c r="B123" s="2">
        <v>0.16990986846432077</v>
      </c>
      <c r="C123" s="2">
        <v>0.66816939833309674</v>
      </c>
      <c r="D123" s="2">
        <v>1.0558910554314535E-3</v>
      </c>
      <c r="E123" s="2">
        <v>3.179891003162431E-3</v>
      </c>
    </row>
    <row r="124" spans="1:5">
      <c r="A124">
        <v>122</v>
      </c>
      <c r="B124" s="2">
        <v>0.17096425447011809</v>
      </c>
      <c r="C124" s="2">
        <v>0.67134480421777143</v>
      </c>
      <c r="D124" s="2">
        <v>1.0529243922353811E-3</v>
      </c>
      <c r="E124" s="2">
        <v>3.1710504585278176E-3</v>
      </c>
    </row>
    <row r="125" spans="1:5">
      <c r="A125">
        <v>123</v>
      </c>
      <c r="B125" s="2">
        <v>0.17201573860308836</v>
      </c>
      <c r="C125" s="2">
        <v>0.6745115630089441</v>
      </c>
      <c r="D125" s="2">
        <v>1.0500858672545079E-3</v>
      </c>
      <c r="E125" s="2">
        <v>3.1625925038447915E-3</v>
      </c>
    </row>
    <row r="126" spans="1:5">
      <c r="A126">
        <v>124</v>
      </c>
      <c r="B126" s="2">
        <v>0.17306444684797267</v>
      </c>
      <c r="C126" s="2">
        <v>0.67767005085894116</v>
      </c>
      <c r="D126" s="2">
        <v>1.0473712144665357E-3</v>
      </c>
      <c r="E126" s="2">
        <v>3.1545043862999628E-3</v>
      </c>
    </row>
    <row r="127" spans="1:5">
      <c r="A127">
        <v>125</v>
      </c>
      <c r="B127" s="2">
        <v>0.17411050098461758</v>
      </c>
      <c r="C127" s="2">
        <v>0.68082063135014892</v>
      </c>
      <c r="D127" s="2">
        <v>1.0447762890660745E-3</v>
      </c>
      <c r="E127" s="2">
        <v>3.1467737157151498E-3</v>
      </c>
    </row>
    <row r="128" spans="1:5">
      <c r="A128">
        <v>126</v>
      </c>
      <c r="B128" s="2">
        <v>0.17515401870763841</v>
      </c>
      <c r="C128" s="2">
        <v>0.68396365585299324</v>
      </c>
      <c r="D128" s="2">
        <v>1.0422970643742873E-3</v>
      </c>
      <c r="E128" s="2">
        <v>3.1393884552825893E-3</v>
      </c>
    </row>
    <row r="129" spans="1:5">
      <c r="A129">
        <v>127</v>
      </c>
      <c r="B129" s="2">
        <v>0.17619511374301794</v>
      </c>
      <c r="C129" s="2">
        <v>0.68709946387472842</v>
      </c>
      <c r="D129" s="2">
        <v>1.0399296288018162E-3</v>
      </c>
      <c r="E129" s="2">
        <v>3.1323369124620932E-3</v>
      </c>
    </row>
    <row r="130" spans="1:5">
      <c r="A130">
        <v>128</v>
      </c>
      <c r="B130" s="2">
        <v>0.17723389596169564</v>
      </c>
      <c r="C130" s="2">
        <v>0.69022838339920989</v>
      </c>
      <c r="D130" s="2">
        <v>1.0376701828669261E-3</v>
      </c>
      <c r="E130" s="2">
        <v>3.1256077300456592E-3</v>
      </c>
    </row>
    <row r="131" spans="1:5">
      <c r="A131">
        <v>129</v>
      </c>
      <c r="B131" s="2">
        <v>0.17827047149020325</v>
      </c>
      <c r="C131" s="2">
        <v>0.6933507312178151</v>
      </c>
      <c r="D131" s="2">
        <v>1.035515036270413E-3</v>
      </c>
      <c r="E131" s="2">
        <v>3.1191898773939111E-3</v>
      </c>
    </row>
    <row r="132" spans="1:5">
      <c r="A132">
        <v>130</v>
      </c>
      <c r="B132" s="2">
        <v>0.17930494281840406</v>
      </c>
      <c r="C132" s="2">
        <v>0.69646681325169002</v>
      </c>
      <c r="D132" s="2">
        <v>1.0334606050284344E-3</v>
      </c>
      <c r="E132" s="2">
        <v>3.1130726418475995E-3</v>
      </c>
    </row>
    <row r="133" spans="1:5">
      <c r="A133">
        <v>131</v>
      </c>
      <c r="B133" s="2">
        <v>0.18033740890439412</v>
      </c>
      <c r="C133" s="2">
        <v>0.69957692486549172</v>
      </c>
      <c r="D133" s="2">
        <v>1.0315034086641184E-3</v>
      </c>
      <c r="E133" s="2">
        <v>3.1072456203165518E-3</v>
      </c>
    </row>
    <row r="134" spans="1:5">
      <c r="A134">
        <v>132</v>
      </c>
      <c r="B134" s="2">
        <v>0.18136796527662466</v>
      </c>
      <c r="C134" s="2">
        <v>0.70268135117281316</v>
      </c>
      <c r="D134" s="2">
        <v>1.0296400674585191E-3</v>
      </c>
      <c r="E134" s="2">
        <v>3.1016987110475598E-3</v>
      </c>
    </row>
    <row r="135" spans="1:5">
      <c r="A135">
        <v>133</v>
      </c>
      <c r="B135" s="2">
        <v>0.18239670413330561</v>
      </c>
      <c r="C135" s="2">
        <v>0.70578036733346328</v>
      </c>
      <c r="D135" s="2">
        <v>1.0278672997612336E-3</v>
      </c>
      <c r="E135" s="2">
        <v>3.0964221055720105E-3</v>
      </c>
    </row>
    <row r="136" spans="1:5">
      <c r="A136">
        <v>134</v>
      </c>
      <c r="B136" s="2">
        <v>0.1834237144391492</v>
      </c>
      <c r="C136" s="2">
        <v>0.70887423884278589</v>
      </c>
      <c r="D136" s="2">
        <v>1.0261819193607962E-3</v>
      </c>
      <c r="E136" s="2">
        <v>3.0914062808334495E-3</v>
      </c>
    </row>
    <row r="137" spans="1:5">
      <c r="A137">
        <v>135</v>
      </c>
      <c r="B137" s="2">
        <v>0.18444908201951393</v>
      </c>
      <c r="C137" s="2">
        <v>0.71196322181319449</v>
      </c>
      <c r="D137" s="2">
        <v>1.0245808329147554E-3</v>
      </c>
      <c r="E137" s="2">
        <v>3.0866419914946869E-3</v>
      </c>
    </row>
    <row r="138" spans="1:5">
      <c r="A138">
        <v>136</v>
      </c>
      <c r="B138" s="2">
        <v>0.18547288965200895</v>
      </c>
      <c r="C138" s="2">
        <v>0.71504756324810614</v>
      </c>
      <c r="D138" s="2">
        <v>1.0230610374392054E-3</v>
      </c>
      <c r="E138" s="2">
        <v>3.0821202624236248E-3</v>
      </c>
    </row>
    <row r="139" spans="1:5">
      <c r="A139">
        <v>137</v>
      </c>
      <c r="B139" s="2">
        <v>0.18649521715561643</v>
      </c>
      <c r="C139" s="2">
        <v>0.71812750130844838</v>
      </c>
      <c r="D139" s="2">
        <v>1.0216196178573667E-3</v>
      </c>
      <c r="E139" s="2">
        <v>3.0778323813565058E-3</v>
      </c>
    </row>
    <row r="140" spans="1:5">
      <c r="A140">
        <v>138</v>
      </c>
      <c r="B140" s="2">
        <v>0.18751614147739287</v>
      </c>
      <c r="C140" s="2">
        <v>0.72120326557191605</v>
      </c>
      <c r="D140" s="2">
        <v>1.020253744606724E-3</v>
      </c>
      <c r="E140" s="2">
        <v>3.0737698917370298E-3</v>
      </c>
    </row>
    <row r="141" spans="1:5">
      <c r="A141">
        <v>139</v>
      </c>
      <c r="B141" s="2">
        <v>0.18853573677680646</v>
      </c>
      <c r="C141" s="2">
        <v>0.72427507728515994</v>
      </c>
      <c r="D141" s="2">
        <v>1.0189606713041017E-3</v>
      </c>
      <c r="E141" s="2">
        <v>3.0699245857293798E-3</v>
      </c>
    </row>
    <row r="142" spans="1:5">
      <c r="A142">
        <v>140</v>
      </c>
      <c r="B142" s="2">
        <v>0.18955407450776779</v>
      </c>
      <c r="C142" s="2">
        <v>0.72734314960906821</v>
      </c>
      <c r="D142" s="2">
        <v>1.0177377324679718E-3</v>
      </c>
      <c r="E142" s="2">
        <v>3.0662884974030037E-3</v>
      </c>
    </row>
    <row r="143" spans="1:5">
      <c r="A143">
        <v>141</v>
      </c>
      <c r="B143" s="2">
        <v>0.19057122349841182</v>
      </c>
      <c r="C143" s="2">
        <v>0.73040768785732257</v>
      </c>
      <c r="D143" s="2">
        <v>1.0165823412972266E-3</v>
      </c>
      <c r="E143" s="2">
        <v>3.0628538960867607E-3</v>
      </c>
    </row>
    <row r="144" spans="1:5">
      <c r="A144">
        <v>142</v>
      </c>
      <c r="B144" s="2">
        <v>0.19158725002868573</v>
      </c>
      <c r="C144" s="2">
        <v>0.73346888972838842</v>
      </c>
      <c r="D144" s="2">
        <v>1.0154919875055648E-3</v>
      </c>
      <c r="E144" s="2">
        <v>3.0596132798898657E-3</v>
      </c>
    </row>
    <row r="145" spans="1:5">
      <c r="A145">
        <v>143</v>
      </c>
      <c r="B145" s="2">
        <v>0.1926022179058002</v>
      </c>
      <c r="C145" s="2">
        <v>0.73652694553111364</v>
      </c>
      <c r="D145" s="2">
        <v>1.014464235210608E-3</v>
      </c>
      <c r="E145" s="2">
        <v>3.0565593693868982E-3</v>
      </c>
    </row>
    <row r="146" spans="1:5">
      <c r="A146">
        <v>144</v>
      </c>
      <c r="B146" s="2">
        <v>0.19361618853759502</v>
      </c>
      <c r="C146" s="2">
        <v>0.73958203840408776</v>
      </c>
      <c r="D146" s="2">
        <v>1.0134967208767999E-3</v>
      </c>
      <c r="E146" s="2">
        <v>3.0536851014640342E-3</v>
      </c>
    </row>
    <row r="147" spans="1:5">
      <c r="A147">
        <v>145</v>
      </c>
      <c r="B147" s="2">
        <v>0.19462922100387561</v>
      </c>
      <c r="C147" s="2">
        <v>0.74263434452893173</v>
      </c>
      <c r="D147" s="2">
        <v>1.0125871513111243E-3</v>
      </c>
      <c r="E147" s="2">
        <v>3.0509836233235414E-3</v>
      </c>
    </row>
    <row r="148" spans="1:5">
      <c r="A148">
        <v>146</v>
      </c>
      <c r="B148" s="2">
        <v>0.19564137212577035</v>
      </c>
      <c r="C148" s="2">
        <v>0.7456840333376662</v>
      </c>
      <c r="D148" s="2">
        <v>1.0117333017106412E-3</v>
      </c>
      <c r="E148" s="2">
        <v>3.0484482866435392E-3</v>
      </c>
    </row>
    <row r="149" spans="1:5">
      <c r="A149">
        <v>147</v>
      </c>
      <c r="B149" s="2">
        <v>0.19665269653316172</v>
      </c>
      <c r="C149" s="2">
        <v>0.74873126771431997</v>
      </c>
      <c r="D149" s="2">
        <v>1.0109330137608149E-3</v>
      </c>
      <c r="E149" s="2">
        <v>3.0460726418898997E-3</v>
      </c>
    </row>
    <row r="150" spans="1:5">
      <c r="A150">
        <v>148</v>
      </c>
      <c r="B150" s="2">
        <v>0.19766324673024058</v>
      </c>
      <c r="C150" s="2">
        <v>0.75177620419092295</v>
      </c>
      <c r="D150" s="2">
        <v>1.0101841937836039E-3</v>
      </c>
      <c r="E150" s="2">
        <v>3.0438504327771915E-3</v>
      </c>
    </row>
    <row r="151" spans="1:5">
      <c r="A151">
        <v>149</v>
      </c>
      <c r="B151" s="2">
        <v>0.19867307315923258</v>
      </c>
      <c r="C151" s="2">
        <v>0.75481899313803347</v>
      </c>
      <c r="D151" s="2">
        <v>1.0094848109342667E-3</v>
      </c>
      <c r="E151" s="2">
        <v>3.0417755908755048E-3</v>
      </c>
    </row>
    <row r="152" spans="1:5">
      <c r="A152">
        <v>150</v>
      </c>
      <c r="B152" s="2">
        <v>0.19968222426234666</v>
      </c>
      <c r="C152" s="2">
        <v>0.75785977894994749</v>
      </c>
      <c r="D152" s="2">
        <v>1.0088328954458224E-3</v>
      </c>
      <c r="E152" s="2">
        <v>3.0398422303599738E-3</v>
      </c>
    </row>
    <row r="153" spans="1:5">
      <c r="A153">
        <v>151</v>
      </c>
      <c r="B153" s="2">
        <v>0.20069074654198985</v>
      </c>
      <c r="C153" s="2">
        <v>0.76089870022472172</v>
      </c>
      <c r="D153" s="2">
        <v>1.0082265369201226E-3</v>
      </c>
      <c r="E153" s="2">
        <v>3.0380446428998312E-3</v>
      </c>
    </row>
    <row r="154" spans="1:5">
      <c r="A154">
        <v>152</v>
      </c>
      <c r="B154" s="2">
        <v>0.20169868461929741</v>
      </c>
      <c r="C154" s="2">
        <v>0.76393588993916073</v>
      </c>
      <c r="D154" s="2">
        <v>1.0076638826644726E-3</v>
      </c>
      <c r="E154" s="2">
        <v>3.0363772926838327E-3</v>
      </c>
    </row>
    <row r="155" spans="1:5">
      <c r="A155">
        <v>153</v>
      </c>
      <c r="B155" s="2">
        <v>0.20270608129102122</v>
      </c>
      <c r="C155" s="2">
        <v>0.76697147561889267</v>
      </c>
      <c r="D155" s="2">
        <v>1.0071431360727582E-3</v>
      </c>
      <c r="E155" s="2">
        <v>3.0348348115788772E-3</v>
      </c>
    </row>
    <row r="156" spans="1:5">
      <c r="A156">
        <v>154</v>
      </c>
      <c r="B156" s="2">
        <v>0.20371297758482176</v>
      </c>
      <c r="C156" s="2">
        <v>0.77000557950367043</v>
      </c>
      <c r="D156" s="2">
        <v>1.0066625550500298E-3</v>
      </c>
      <c r="E156" s="2">
        <v>3.0334119944187068E-3</v>
      </c>
    </row>
    <row r="157" spans="1:5">
      <c r="A157">
        <v>155</v>
      </c>
      <c r="B157" s="2">
        <v>0.20471941281300565</v>
      </c>
      <c r="C157" s="2">
        <v>0.77303831870802608</v>
      </c>
      <c r="D157" s="2">
        <v>1.0062204504795156E-3</v>
      </c>
      <c r="E157" s="2">
        <v>3.0321037944195752E-3</v>
      </c>
    </row>
    <row r="158" spans="1:5">
      <c r="A158">
        <v>156</v>
      </c>
      <c r="B158" s="2">
        <v>0.20572542462475088</v>
      </c>
      <c r="C158" s="2">
        <v>0.77606980537740078</v>
      </c>
      <c r="D158" s="2">
        <v>1.0058151847310343E-3</v>
      </c>
      <c r="E158" s="2">
        <v>3.0309053187198031E-3</v>
      </c>
    </row>
    <row r="159" spans="1:5">
      <c r="A159">
        <v>157</v>
      </c>
      <c r="B159" s="2">
        <v>0.20673104905686204</v>
      </c>
      <c r="C159" s="2">
        <v>0.77910014683988027</v>
      </c>
      <c r="D159" s="2">
        <v>1.0054451702098037E-3</v>
      </c>
      <c r="E159" s="2">
        <v>3.0298118240402127E-3</v>
      </c>
    </row>
    <row r="160" spans="1:5">
      <c r="A160">
        <v>158</v>
      </c>
      <c r="B160" s="2">
        <v>0.20773632058309255</v>
      </c>
      <c r="C160" s="2">
        <v>0.78212944575364463</v>
      </c>
      <c r="D160" s="2">
        <v>1.0051088679446398E-3</v>
      </c>
      <c r="E160" s="2">
        <v>3.0288187124624041E-3</v>
      </c>
    </row>
    <row r="161" spans="1:5">
      <c r="A161">
        <v>159</v>
      </c>
      <c r="B161" s="2">
        <v>0.20874127216207555</v>
      </c>
      <c r="C161" s="2">
        <v>0.78515780025025783</v>
      </c>
      <c r="D161" s="2">
        <v>1.0048047862145676E-3</v>
      </c>
      <c r="E161" s="2">
        <v>3.0279215273219819E-3</v>
      </c>
    </row>
    <row r="162" spans="1:5">
      <c r="A162">
        <v>160</v>
      </c>
      <c r="B162" s="2">
        <v>0.20974593528389987</v>
      </c>
      <c r="C162" s="2">
        <v>0.78818530407390552</v>
      </c>
      <c r="D162" s="2">
        <v>1.0045314792128789E-3</v>
      </c>
      <c r="E162" s="2">
        <v>3.0271159492137848E-3</v>
      </c>
    </row>
    <row r="163" spans="1:5">
      <c r="A163">
        <v>161</v>
      </c>
      <c r="B163" s="2">
        <v>0.21075034001536844</v>
      </c>
      <c r="C163" s="2">
        <v>0.79121204671669298</v>
      </c>
      <c r="D163" s="2">
        <v>1.0042875457476807E-3</v>
      </c>
      <c r="E163" s="2">
        <v>3.0263977921062887E-3</v>
      </c>
    </row>
    <row r="164" spans="1:5">
      <c r="A164">
        <v>162</v>
      </c>
      <c r="B164" s="2">
        <v>0.21175451504397605</v>
      </c>
      <c r="C164" s="2">
        <v>0.7942381135501142</v>
      </c>
      <c r="D164" s="2">
        <v>1.0040716279780056E-3</v>
      </c>
      <c r="E164" s="2">
        <v>3.0257629995623981E-3</v>
      </c>
    </row>
    <row r="165" spans="1:5">
      <c r="A165">
        <v>163</v>
      </c>
      <c r="B165" s="2">
        <v>0.21275848772063868</v>
      </c>
      <c r="C165" s="2">
        <v>0.79726358595278723</v>
      </c>
      <c r="D165" s="2">
        <v>1.0038824101845636E-3</v>
      </c>
      <c r="E165" s="2">
        <v>3.0252076410638494E-3</v>
      </c>
    </row>
    <row r="166" spans="1:5">
      <c r="A166">
        <v>164</v>
      </c>
      <c r="B166" s="2">
        <v>0.21376228410121317</v>
      </c>
      <c r="C166" s="2">
        <v>0.80028854143457306</v>
      </c>
      <c r="D166" s="2">
        <v>1.0037186175742435E-3</v>
      </c>
      <c r="E166" s="2">
        <v>3.0247279084365743E-3</v>
      </c>
    </row>
    <row r="167" spans="1:5">
      <c r="A167">
        <v>165</v>
      </c>
      <c r="B167" s="2">
        <v>0.21476592898683583</v>
      </c>
      <c r="C167" s="2">
        <v>0.80331305375716389</v>
      </c>
      <c r="D167" s="2">
        <v>1.0035790151174783E-3</v>
      </c>
      <c r="E167" s="2">
        <v>3.0243201123743447E-3</v>
      </c>
    </row>
    <row r="168" spans="1:5">
      <c r="A168">
        <v>166</v>
      </c>
      <c r="B168" s="2">
        <v>0.21576944596311573</v>
      </c>
      <c r="C168" s="2">
        <v>0.80633719305124385</v>
      </c>
      <c r="D168" s="2">
        <v>1.003462406417616E-3</v>
      </c>
      <c r="E168" s="2">
        <v>3.0239806790581724E-3</v>
      </c>
    </row>
    <row r="169" spans="1:5">
      <c r="A169">
        <v>167</v>
      </c>
      <c r="B169" s="2">
        <v>0.21677285743821256</v>
      </c>
      <c r="C169" s="2">
        <v>0.80936102593031889</v>
      </c>
      <c r="D169" s="2">
        <v>1.003367632611452E-3</v>
      </c>
      <c r="E169" s="2">
        <v>3.0237061468688822E-3</v>
      </c>
    </row>
    <row r="170" spans="1:5">
      <c r="A170">
        <v>168</v>
      </c>
      <c r="B170" s="2">
        <v>0.21777618467983087</v>
      </c>
      <c r="C170" s="2">
        <v>0.81238461560130248</v>
      </c>
      <c r="D170" s="2">
        <v>1.0032935713001022E-3</v>
      </c>
      <c r="E170" s="2">
        <v>3.023493163190445E-3</v>
      </c>
    </row>
    <row r="171" spans="1:5">
      <c r="A171">
        <v>169</v>
      </c>
      <c r="B171" s="2">
        <v>0.21877944785115952</v>
      </c>
      <c r="C171" s="2">
        <v>0.81540802197195084</v>
      </c>
      <c r="D171" s="2">
        <v>1.0032391355094038E-3</v>
      </c>
      <c r="E171" s="2">
        <v>3.023338481301617E-3</v>
      </c>
    </row>
    <row r="172" spans="1:5">
      <c r="A172">
        <v>170</v>
      </c>
      <c r="B172" s="2">
        <v>0.2197826660457862</v>
      </c>
      <c r="C172" s="2">
        <v>0.81843130175523127</v>
      </c>
      <c r="D172" s="2">
        <v>1.0032032726790682E-3</v>
      </c>
      <c r="E172" s="2">
        <v>3.0232389573535564E-3</v>
      </c>
    </row>
    <row r="173" spans="1:5">
      <c r="A173">
        <v>171</v>
      </c>
      <c r="B173" s="2">
        <v>0.22078585732161524</v>
      </c>
      <c r="C173" s="2">
        <v>0.82145450857071189</v>
      </c>
      <c r="D173" s="2">
        <v>1.0031849636798027E-3</v>
      </c>
      <c r="E173" s="2">
        <v>3.0231915474311054E-3</v>
      </c>
    </row>
    <row r="174" spans="1:5">
      <c r="A174">
        <v>172</v>
      </c>
      <c r="B174" s="2">
        <v>0.22178903873381636</v>
      </c>
      <c r="C174" s="2">
        <v>0.82447769304305341</v>
      </c>
      <c r="D174" s="2">
        <v>1.0031832218576661E-3</v>
      </c>
      <c r="E174" s="2">
        <v>3.023193304695491E-3</v>
      </c>
    </row>
    <row r="175" spans="1:5">
      <c r="A175">
        <v>173</v>
      </c>
      <c r="B175" s="2">
        <v>0.2227922263668316</v>
      </c>
      <c r="C175" s="2">
        <v>0.82750090289768452</v>
      </c>
      <c r="D175" s="2">
        <v>1.0031970921049137E-3</v>
      </c>
      <c r="E175" s="2">
        <v>3.0232413766062578E-3</v>
      </c>
    </row>
    <row r="176" spans="1:5">
      <c r="A176">
        <v>174</v>
      </c>
      <c r="B176" s="2">
        <v>0.22379543536546453</v>
      </c>
      <c r="C176" s="2">
        <v>0.83052418305373465</v>
      </c>
      <c r="D176" s="2">
        <v>1.0032256499566223E-3</v>
      </c>
      <c r="E176" s="2">
        <v>3.023333002220293E-3</v>
      </c>
    </row>
    <row r="177" spans="1:5">
      <c r="A177">
        <v>175</v>
      </c>
      <c r="B177" s="2">
        <v>0.22479867996508066</v>
      </c>
      <c r="C177" s="2">
        <v>0.8335475757143076</v>
      </c>
      <c r="D177" s="2">
        <v>1.003268000712399E-3</v>
      </c>
      <c r="E177" s="2">
        <v>3.0234655095658586E-3</v>
      </c>
    </row>
    <row r="178" spans="1:5">
      <c r="A178">
        <v>176</v>
      </c>
      <c r="B178" s="2">
        <v>0.22580197352094061</v>
      </c>
      <c r="C178" s="2">
        <v>0.83657112045416437</v>
      </c>
      <c r="D178" s="2">
        <v>1.0033232785824943E-3</v>
      </c>
      <c r="E178" s="2">
        <v>3.023636313089593E-3</v>
      </c>
    </row>
    <row r="179" spans="1:5">
      <c r="A179">
        <v>177</v>
      </c>
      <c r="B179" s="2">
        <v>0.22680532853669216</v>
      </c>
      <c r="C179" s="2">
        <v>0.83959485430488889</v>
      </c>
      <c r="D179" s="2">
        <v>1.0033906458576513E-3</v>
      </c>
      <c r="E179" s="2">
        <v>3.023842911174514E-3</v>
      </c>
    </row>
    <row r="180" spans="1:5">
      <c r="A180">
        <v>178</v>
      </c>
      <c r="B180" s="2">
        <v>0.22780875669204287</v>
      </c>
      <c r="C180" s="2">
        <v>0.84261881183760579</v>
      </c>
      <c r="D180" s="2">
        <v>1.0034692921020547E-3</v>
      </c>
      <c r="E180" s="2">
        <v>3.0240828837270659E-3</v>
      </c>
    </row>
    <row r="181" spans="1:5">
      <c r="A181">
        <v>179</v>
      </c>
      <c r="B181" s="2">
        <v>0.22881226886963801</v>
      </c>
      <c r="C181" s="2">
        <v>0.84564302524332058</v>
      </c>
      <c r="D181" s="2">
        <v>1.0035584333687425E-3</v>
      </c>
      <c r="E181" s="2">
        <v>3.0243538898313644E-3</v>
      </c>
    </row>
    <row r="182" spans="1:5">
      <c r="A182">
        <v>180</v>
      </c>
      <c r="B182" s="2">
        <v>0.22981587518116436</v>
      </c>
      <c r="C182" s="2">
        <v>0.84866752441094651</v>
      </c>
      <c r="D182" s="2">
        <v>1.0036573114368726E-3</v>
      </c>
      <c r="E182" s="2">
        <v>3.0246536654687721E-3</v>
      </c>
    </row>
    <row r="183" spans="1:5">
      <c r="A183">
        <v>181</v>
      </c>
      <c r="B183" s="2">
        <v>0.23081958499270197</v>
      </c>
      <c r="C183" s="2">
        <v>0.85169233700308289</v>
      </c>
      <c r="D183" s="2">
        <v>1.0037651930702425E-3</v>
      </c>
      <c r="E183" s="2">
        <v>3.0249800213010317E-3</v>
      </c>
    </row>
    <row r="184" spans="1:5">
      <c r="A184">
        <v>182</v>
      </c>
      <c r="B184" s="2">
        <v>0.23182340694934461</v>
      </c>
      <c r="C184" s="2">
        <v>0.85471748852960605</v>
      </c>
      <c r="D184" s="2">
        <v>1.0038813692964854E-3</v>
      </c>
      <c r="E184" s="2">
        <v>3.0253308405152313E-3</v>
      </c>
    </row>
    <row r="185" spans="1:5">
      <c r="A185">
        <v>183</v>
      </c>
      <c r="B185" s="2">
        <v>0.23282734899911101</v>
      </c>
      <c r="C185" s="2">
        <v>0.85774300241914059</v>
      </c>
      <c r="D185" s="2">
        <v>1.0040051547063737E-3</v>
      </c>
      <c r="E185" s="2">
        <v>3.0257040767288769E-3</v>
      </c>
    </row>
    <row r="186" spans="1:5">
      <c r="A186">
        <v>184</v>
      </c>
      <c r="B186" s="2">
        <v>0.23383141841616323</v>
      </c>
      <c r="C186" s="2">
        <v>0.86076890008845908</v>
      </c>
      <c r="D186" s="2">
        <v>1.0041358867726759E-3</v>
      </c>
      <c r="E186" s="2">
        <v>3.0260977519534515E-3</v>
      </c>
    </row>
    <row r="187" spans="1:5">
      <c r="A187">
        <v>185</v>
      </c>
      <c r="B187" s="2">
        <v>0.23483562182335507</v>
      </c>
      <c r="C187" s="2">
        <v>0.86379520100987939</v>
      </c>
      <c r="D187" s="2">
        <v>1.0042729251880365E-3</v>
      </c>
      <c r="E187" s="2">
        <v>3.0265099546148417E-3</v>
      </c>
    </row>
    <row r="188" spans="1:5">
      <c r="A188">
        <v>186</v>
      </c>
      <c r="B188" s="2">
        <v>0.2358399652141267</v>
      </c>
      <c r="C188" s="2">
        <v>0.86682192277670478</v>
      </c>
      <c r="D188" s="2">
        <v>1.0044156512213501E-3</v>
      </c>
      <c r="E188" s="2">
        <v>3.0269388376290649E-3</v>
      </c>
    </row>
    <row r="189" spans="1:5">
      <c r="A189">
        <v>187</v>
      </c>
      <c r="B189" s="2">
        <v>0.23684445397376522</v>
      </c>
      <c r="C189" s="2">
        <v>0.86984908116677273</v>
      </c>
      <c r="D189" s="2">
        <v>1.0045634670921254E-3</v>
      </c>
      <c r="E189" s="2">
        <v>3.0273826165317891E-3</v>
      </c>
    </row>
    <row r="190" spans="1:5">
      <c r="A190">
        <v>188</v>
      </c>
      <c r="B190" s="2">
        <v>0.23784909290004858</v>
      </c>
      <c r="C190" s="2">
        <v>0.87287669020415604</v>
      </c>
      <c r="D190" s="2">
        <v>1.004715795362337E-3</v>
      </c>
      <c r="E190" s="2">
        <v>3.0278395676601472E-3</v>
      </c>
    </row>
    <row r="191" spans="1:5">
      <c r="A191">
        <v>189</v>
      </c>
      <c r="B191" s="2">
        <v>0.23885388622328932</v>
      </c>
      <c r="C191" s="2">
        <v>0.87590476221907143</v>
      </c>
      <c r="D191" s="2">
        <v>1.0048720783452948E-3</v>
      </c>
      <c r="E191" s="2">
        <v>3.0283080263854211E-3</v>
      </c>
    </row>
    <row r="192" spans="1:5">
      <c r="A192">
        <v>190</v>
      </c>
      <c r="B192" s="2">
        <v>0.2398588376257963</v>
      </c>
      <c r="C192" s="2">
        <v>0.87893330790604773</v>
      </c>
      <c r="D192" s="2">
        <v>1.0050317775310491E-3</v>
      </c>
      <c r="E192" s="2">
        <v>3.0287863853951827E-3</v>
      </c>
    </row>
    <row r="193" spans="1:5">
      <c r="A193">
        <v>191</v>
      </c>
      <c r="B193" s="2">
        <v>0.24086395026076887</v>
      </c>
      <c r="C193" s="2">
        <v>0.88196233638039845</v>
      </c>
      <c r="D193" s="2">
        <v>1.005194373027884E-3</v>
      </c>
      <c r="E193" s="2">
        <v>3.0292730930235288E-3</v>
      </c>
    </row>
    <row r="194" spans="1:5">
      <c r="A194">
        <v>192</v>
      </c>
      <c r="B194" s="2">
        <v>0.24186922677064213</v>
      </c>
      <c r="C194" s="2">
        <v>0.88499185523305035</v>
      </c>
      <c r="D194" s="2">
        <v>1.005359363019451E-3</v>
      </c>
      <c r="E194" s="2">
        <v>3.0297666516280776E-3</v>
      </c>
    </row>
    <row r="195" spans="1:5">
      <c r="A195">
        <v>193</v>
      </c>
      <c r="B195" s="2">
        <v>0.24287466930489512</v>
      </c>
      <c r="C195" s="2">
        <v>0.88802187058377002</v>
      </c>
      <c r="D195" s="2">
        <v>1.0055262632371117E-3</v>
      </c>
      <c r="E195" s="2">
        <v>3.0302656160124579E-3</v>
      </c>
    </row>
    <row r="196" spans="1:5">
      <c r="A196">
        <v>194</v>
      </c>
      <c r="B196" s="2">
        <v>0.24388027953733979</v>
      </c>
      <c r="C196" s="2">
        <v>0.8910523871328353</v>
      </c>
      <c r="D196" s="2">
        <v>1.0056946064470711E-3</v>
      </c>
      <c r="E196" s="2">
        <v>3.0307685918929943E-3</v>
      </c>
    </row>
    <row r="197" spans="1:5">
      <c r="A197">
        <v>195</v>
      </c>
      <c r="B197" s="2">
        <v>0.24488605868290436</v>
      </c>
      <c r="C197" s="2">
        <v>0.89408340821119625</v>
      </c>
      <c r="D197" s="2">
        <v>1.0058639419518859E-3</v>
      </c>
      <c r="E197" s="2">
        <v>3.0312742344084011E-3</v>
      </c>
    </row>
    <row r="198" spans="1:5">
      <c r="A198">
        <v>196</v>
      </c>
      <c r="B198" s="2">
        <v>0.24589200751392554</v>
      </c>
      <c r="C198" s="2">
        <v>0.89711493582916757</v>
      </c>
      <c r="D198" s="2">
        <v>1.0060338351059643E-3</v>
      </c>
      <c r="E198" s="2">
        <v>3.0317812466712831E-3</v>
      </c>
    </row>
    <row r="199" spans="1:5">
      <c r="A199">
        <v>197</v>
      </c>
      <c r="B199" s="2">
        <v>0.24689812637596195</v>
      </c>
      <c r="C199" s="2">
        <v>0.90014697072369054</v>
      </c>
      <c r="D199" s="2">
        <v>1.0062038668446477E-3</v>
      </c>
      <c r="E199" s="2">
        <v>3.0322883783602704E-3</v>
      </c>
    </row>
    <row r="200" spans="1:5">
      <c r="A200">
        <v>198</v>
      </c>
      <c r="B200" s="2">
        <v>0.2479044152031443</v>
      </c>
      <c r="C200" s="2">
        <v>0.90317951240420813</v>
      </c>
      <c r="D200" s="2">
        <v>1.0063736332265247E-3</v>
      </c>
      <c r="E200" s="2">
        <v>3.0327944243516971E-3</v>
      </c>
    </row>
    <row r="201" spans="1:5">
      <c r="A201">
        <v>199</v>
      </c>
      <c r="B201" s="2">
        <v>0.24891087353307445</v>
      </c>
      <c r="C201" s="2">
        <v>0.90621255919719268</v>
      </c>
      <c r="D201" s="2">
        <v>1.0065427449885876E-3</v>
      </c>
      <c r="E201" s="2">
        <v>3.0332982233896937E-3</v>
      </c>
    </row>
    <row r="202" spans="1:5">
      <c r="A202">
        <v>200</v>
      </c>
      <c r="B202" s="2">
        <v>0.24991750052128503</v>
      </c>
      <c r="C202" s="2">
        <v>0.90924610828936014</v>
      </c>
      <c r="D202" s="2">
        <v>1.0067108271138918E-3</v>
      </c>
      <c r="E202" s="2">
        <v>3.0337986567936428E-3</v>
      </c>
    </row>
    <row r="203" spans="1:5">
      <c r="A203">
        <v>201</v>
      </c>
      <c r="B203" s="2">
        <v>0.25092429495527424</v>
      </c>
      <c r="C203" s="2">
        <v>0.91228015576961297</v>
      </c>
      <c r="D203" s="2">
        <v>1.0068775184113611E-3</v>
      </c>
      <c r="E203" s="2">
        <v>3.0342946472019746E-3</v>
      </c>
    </row>
  </sheetData>
  <phoneticPr fontId="3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829D-2023-4A3E-8560-284BC0961F28}">
  <sheetPr codeName="Sheet4"/>
  <dimension ref="A1:M2"/>
  <sheetViews>
    <sheetView showGridLines="0" workbookViewId="0">
      <selection activeCell="P6" sqref="P6"/>
    </sheetView>
  </sheetViews>
  <sheetFormatPr defaultRowHeight="10.8"/>
  <cols>
    <col min="1" max="8" width="9.875" style="2" customWidth="1"/>
  </cols>
  <sheetData>
    <row r="1" spans="1:13">
      <c r="A1" s="4"/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s="11" customFormat="1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</sheetData>
  <phoneticPr fontId="3"/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変更履歴</vt:lpstr>
      <vt:lpstr>壁体構成</vt:lpstr>
      <vt:lpstr>応答係数</vt:lpstr>
      <vt:lpstr>応答係数Template</vt:lpstr>
      <vt:lpstr>パラメータ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satoh-er</dc:creator>
  <cp:lastModifiedBy>佐藤誠</cp:lastModifiedBy>
  <cp:lastPrinted>2015-12-17T05:10:53Z</cp:lastPrinted>
  <dcterms:created xsi:type="dcterms:W3CDTF">2015-11-12T05:00:51Z</dcterms:created>
  <dcterms:modified xsi:type="dcterms:W3CDTF">2020-09-29T04:16:14Z</dcterms:modified>
</cp:coreProperties>
</file>