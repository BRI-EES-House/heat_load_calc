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https://satohercom-my.sharepoint.com/personal/satoh_satoh-er_com/Documents/users/sourcetree/heat_load_calc/test/test_singlezone/steady_11/"/>
    </mc:Choice>
  </mc:AlternateContent>
  <xr:revisionPtr revIDLastSave="15" documentId="8_{9C8A7375-789F-4202-ABB9-88B3F8835A57}" xr6:coauthVersionLast="47" xr6:coauthVersionMax="47" xr10:uidLastSave="{CB24B8EB-F4C6-4F82-A0DF-0FC41D3B7EF9}"/>
  <bookViews>
    <workbookView xWindow="-105" yWindow="0" windowWidth="14040" windowHeight="15585" activeTab="1" xr2:uid="{45A1B7A6-7409-41F9-BB10-4729754C71E5}"/>
  </bookViews>
  <sheets>
    <sheet name="熱伝達率" sheetId="2" r:id="rId1"/>
    <sheet name="正解値" sheetId="3" r:id="rId2"/>
  </sheets>
  <calcPr calcId="191029" iterate="1" iterateCount="10000" iterateDelta="9.9999999999999998E-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23" i="3" l="1"/>
  <c r="L23" i="3" s="1"/>
  <c r="M23" i="3" s="1"/>
  <c r="J23" i="3"/>
  <c r="Y23" i="3"/>
  <c r="AG23" i="3"/>
  <c r="D24" i="3"/>
  <c r="I24" i="3"/>
  <c r="L24" i="3" s="1"/>
  <c r="M24" i="3" s="1"/>
  <c r="J24" i="3"/>
  <c r="Y24" i="3"/>
  <c r="AG24" i="3"/>
  <c r="I25" i="3"/>
  <c r="K25" i="3" s="1"/>
  <c r="J25" i="3"/>
  <c r="Y25" i="3"/>
  <c r="AG25" i="3"/>
  <c r="I26" i="3"/>
  <c r="L26" i="3" s="1"/>
  <c r="M26" i="3" s="1"/>
  <c r="J26" i="3"/>
  <c r="K26" i="3"/>
  <c r="O26" i="3" s="1"/>
  <c r="R26" i="3" s="1"/>
  <c r="Y26" i="3"/>
  <c r="AG26" i="3"/>
  <c r="I27" i="3"/>
  <c r="J27" i="3"/>
  <c r="K27" i="3"/>
  <c r="L27" i="3"/>
  <c r="M27" i="3"/>
  <c r="O27" i="3"/>
  <c r="R27" i="3" s="1"/>
  <c r="Y27" i="3"/>
  <c r="I28" i="3"/>
  <c r="J28" i="3"/>
  <c r="K28" i="3"/>
  <c r="O28" i="3" s="1"/>
  <c r="R28" i="3" s="1"/>
  <c r="L28" i="3"/>
  <c r="M28" i="3"/>
  <c r="Y28" i="3"/>
  <c r="AG28" i="3"/>
  <c r="D29" i="3"/>
  <c r="D30" i="3"/>
  <c r="K24" i="3" s="1"/>
  <c r="D31" i="3"/>
  <c r="D33" i="3"/>
  <c r="B3" i="2"/>
  <c r="B4" i="2"/>
  <c r="B5" i="2"/>
  <c r="B6" i="2"/>
  <c r="B7" i="2"/>
  <c r="B8" i="2"/>
  <c r="O24" i="3" l="1"/>
  <c r="P24" i="3"/>
  <c r="R24" i="3" s="1"/>
  <c r="Q24" i="3"/>
  <c r="K23" i="3"/>
  <c r="O23" i="3" s="1"/>
  <c r="R23" i="3" s="1"/>
  <c r="L25" i="3"/>
  <c r="M25" i="3" s="1"/>
  <c r="B9" i="2"/>
  <c r="C6" i="2" s="1"/>
  <c r="D6" i="2" s="1"/>
  <c r="F6" i="2" s="1"/>
  <c r="U26" i="3" s="1"/>
  <c r="V26" i="3" s="1"/>
  <c r="Z26" i="3" s="1"/>
  <c r="Q25" i="3" l="1"/>
  <c r="D37" i="3" s="1"/>
  <c r="AA27" i="3" s="1"/>
  <c r="P25" i="3"/>
  <c r="R25" i="3" s="1"/>
  <c r="O25" i="3"/>
  <c r="C3" i="2"/>
  <c r="D3" i="2" s="1"/>
  <c r="F3" i="2" s="1"/>
  <c r="U25" i="3" s="1"/>
  <c r="V25" i="3" s="1"/>
  <c r="Z25" i="3" s="1"/>
  <c r="C7" i="2"/>
  <c r="D7" i="2" s="1"/>
  <c r="F7" i="2" s="1"/>
  <c r="U27" i="3" s="1"/>
  <c r="V27" i="3" s="1"/>
  <c r="Z27" i="3" s="1"/>
  <c r="C8" i="2"/>
  <c r="D8" i="2" s="1"/>
  <c r="F8" i="2" s="1"/>
  <c r="U28" i="3" s="1"/>
  <c r="V28" i="3" s="1"/>
  <c r="Z28" i="3" s="1"/>
  <c r="C4" i="2"/>
  <c r="D4" i="2" s="1"/>
  <c r="F4" i="2" s="1"/>
  <c r="U23" i="3" s="1"/>
  <c r="C5" i="2"/>
  <c r="D5" i="2" s="1"/>
  <c r="F5" i="2" s="1"/>
  <c r="U24" i="3" s="1"/>
  <c r="V24" i="3" s="1"/>
  <c r="Z24" i="3" s="1"/>
  <c r="V23" i="3" l="1"/>
  <c r="Z23" i="3" s="1"/>
  <c r="D35" i="3" s="1"/>
  <c r="D9" i="2"/>
  <c r="AB23" i="3"/>
  <c r="AC23" i="3"/>
  <c r="AD23" i="3"/>
  <c r="AE23" i="3"/>
  <c r="AF23" i="3"/>
  <c r="AH23" i="3"/>
  <c r="AB24" i="3"/>
  <c r="AC24" i="3"/>
  <c r="AD24" i="3"/>
  <c r="AE24" i="3"/>
  <c r="AF24" i="3"/>
  <c r="AB25" i="3"/>
  <c r="AC25" i="3"/>
  <c r="AD25" i="3"/>
  <c r="AE25" i="3"/>
  <c r="AF25" i="3"/>
  <c r="AB26" i="3"/>
  <c r="AC26" i="3"/>
  <c r="AD26" i="3"/>
  <c r="AE26" i="3"/>
  <c r="AF26" i="3"/>
  <c r="AB27" i="3"/>
  <c r="AC27" i="3"/>
  <c r="AD27" i="3"/>
  <c r="AE27" i="3"/>
  <c r="AF27" i="3"/>
  <c r="AB28" i="3"/>
  <c r="AC28" i="3"/>
  <c r="AD28" i="3"/>
  <c r="AE28" i="3"/>
  <c r="AF28" i="3"/>
  <c r="AC30" i="3"/>
  <c r="AF30" i="3"/>
  <c r="D47" i="3"/>
  <c r="D48" i="3"/>
  <c r="D49" i="3"/>
  <c r="D50" i="3"/>
  <c r="D51" i="3"/>
  <c r="D54" i="3"/>
  <c r="D55" i="3"/>
</calcChain>
</file>

<file path=xl/sharedStrings.xml><?xml version="1.0" encoding="utf-8"?>
<sst xmlns="http://schemas.openxmlformats.org/spreadsheetml/2006/main" count="179" uniqueCount="122">
  <si>
    <t>℃</t>
  </si>
  <si>
    <t>㎡･K/W</t>
  </si>
  <si>
    <t>W/(㎡･K)</t>
  </si>
  <si>
    <t>㎡</t>
  </si>
  <si>
    <t>W/㎡</t>
  </si>
  <si>
    <t>永田の方法</t>
    <rPh sb="0" eb="2">
      <t>ナガタ</t>
    </rPh>
    <rPh sb="3" eb="5">
      <t>ホウホウ</t>
    </rPh>
    <phoneticPr fontId="3"/>
  </si>
  <si>
    <t>面積</t>
    <rPh sb="0" eb="2">
      <t>メンセキ</t>
    </rPh>
    <phoneticPr fontId="3"/>
  </si>
  <si>
    <t>面積比</t>
    <rPh sb="0" eb="2">
      <t>メンセキ</t>
    </rPh>
    <rPh sb="2" eb="3">
      <t>ヒ</t>
    </rPh>
    <phoneticPr fontId="3"/>
  </si>
  <si>
    <t>微小球から面を見た形態係数</t>
    <rPh sb="0" eb="2">
      <t>ビショウ</t>
    </rPh>
    <rPh sb="2" eb="3">
      <t>キュウ</t>
    </rPh>
    <rPh sb="5" eb="6">
      <t>メン</t>
    </rPh>
    <rPh sb="7" eb="8">
      <t>ミ</t>
    </rPh>
    <rPh sb="9" eb="11">
      <t>ケイタイ</t>
    </rPh>
    <rPh sb="11" eb="13">
      <t>ケイスウ</t>
    </rPh>
    <phoneticPr fontId="3"/>
  </si>
  <si>
    <t>放射率</t>
    <rPh sb="0" eb="3">
      <t>ホウシャリツ</t>
    </rPh>
    <phoneticPr fontId="3"/>
  </si>
  <si>
    <t>放射熱伝達率[W/(m2･K)]</t>
    <rPh sb="0" eb="2">
      <t>ホウシャ</t>
    </rPh>
    <rPh sb="2" eb="6">
      <t>ネツデンタツリツ</t>
    </rPh>
    <phoneticPr fontId="3"/>
  </si>
  <si>
    <t>f_bar</t>
    <phoneticPr fontId="3"/>
  </si>
  <si>
    <t>平均温度</t>
    <rPh sb="0" eb="2">
      <t>ヘイキン</t>
    </rPh>
    <rPh sb="2" eb="4">
      <t>オンド</t>
    </rPh>
    <phoneticPr fontId="3"/>
  </si>
  <si>
    <t>計</t>
    <rPh sb="0" eb="1">
      <t>ケイ</t>
    </rPh>
    <phoneticPr fontId="3"/>
  </si>
  <si>
    <t>壁</t>
  </si>
  <si>
    <t>床</t>
  </si>
  <si>
    <t>屋根</t>
  </si>
  <si>
    <t>計算条件</t>
  </si>
  <si>
    <t>全ての部位が合板12mmの立方体の単室モデル。</t>
  </si>
  <si>
    <t>外気温度0℃、法線面直達日射量700W/m2、水平面天空日射200W/m2。太陽高度30度、太陽方位角0度</t>
  </si>
  <si>
    <t>内部発熱なし。</t>
  </si>
  <si>
    <t>計算方法</t>
  </si>
  <si>
    <t>室空気からの熱損失が、0Wとなるよう収束計算を行い、室温等を決定する。</t>
  </si>
  <si>
    <t>室空気からの対流熱損失は、対流熱損失より求める。</t>
  </si>
  <si>
    <t>対流熱損失は、室空気と表面温度の温度差、対流熱伝達率より求める。</t>
  </si>
  <si>
    <t>換気熱損失は、室空気と外気の温度差、空気の容積比熱より求める。</t>
  </si>
  <si>
    <t>収束計算の過程において、室空気からの対流熱損失が、内部発熱の設定と差がある場合、（内部発熱ー対流熱損失）/Q値を室温に加算。その際のQ値は室内側表面熱伝達率は対流のみを考慮。</t>
  </si>
  <si>
    <t>室内側表面温度は、相当外気温度、室内側作用温度、屋外から室内までの熱抵抗、屋外から室内側表面までの熱抵抗より求める。</t>
  </si>
  <si>
    <t>作用温度は、室空気温度、微小球温度、対流熱伝達率、放射熱伝達率より求める。床では、単位面積あたり透過日射も考慮する。</t>
  </si>
  <si>
    <t>床の単位面積あたり透過日射は、室の透過日射と、床への分配割合、床面積より求める。</t>
  </si>
  <si>
    <t>微小球温度は、Σ（面積×放射熱伝達率×表面温度）÷Σ（面積×放射熱伝達率）とする。</t>
  </si>
  <si>
    <t>放射熱伝達率は永田先生の方法、対流熱伝達率は室内側表面熱伝達抵抗(固定値）と放射熱伝達率より求める。</t>
  </si>
  <si>
    <t>テスト項目</t>
  </si>
  <si>
    <t>室温、表面温度、表面熱流を比較する。</t>
  </si>
  <si>
    <t>入射角方向余弦</t>
  </si>
  <si>
    <t>項目</t>
  </si>
  <si>
    <t>値</t>
  </si>
  <si>
    <t>単位</t>
  </si>
  <si>
    <t>備考</t>
  </si>
  <si>
    <t>傾斜面傾斜角</t>
  </si>
  <si>
    <t>傾斜面方位角</t>
  </si>
  <si>
    <t>cosθ</t>
  </si>
  <si>
    <t>天空に対する形態係数</t>
  </si>
  <si>
    <t>地面に対する形態係数</t>
  </si>
  <si>
    <t>外表面日射吸収率</t>
  </si>
  <si>
    <t>傾斜面日射量</t>
  </si>
  <si>
    <t>吸収日射熱取得</t>
  </si>
  <si>
    <t>透過日射熱取得</t>
  </si>
  <si>
    <t>相当外気温度</t>
  </si>
  <si>
    <t>面積</t>
  </si>
  <si>
    <t>放射率</t>
  </si>
  <si>
    <t>放射熱伝達率</t>
  </si>
  <si>
    <t>対流熱伝達率</t>
  </si>
  <si>
    <t>室内側表面熱伝達抵抗</t>
  </si>
  <si>
    <t>屋外側表面熱伝達抵抗</t>
  </si>
  <si>
    <t>熱抵抗</t>
  </si>
  <si>
    <t>熱貫流率（表面熱伝達率対流）</t>
  </si>
  <si>
    <t>透過日射</t>
  </si>
  <si>
    <t>表面温度</t>
  </si>
  <si>
    <t>等価室温</t>
  </si>
  <si>
    <t>表面熱流（対流）</t>
  </si>
  <si>
    <t>表面熱流（放射）</t>
  </si>
  <si>
    <t>表面熱流</t>
  </si>
  <si>
    <t>人体に対する形態係数</t>
  </si>
  <si>
    <t>人体に対する平均放射温度</t>
  </si>
  <si>
    <t>物性値</t>
  </si>
  <si>
    <t>空気</t>
  </si>
  <si>
    <t>比熱</t>
  </si>
  <si>
    <t>J/(kg･K)</t>
  </si>
  <si>
    <t>rad</t>
  </si>
  <si>
    <t>－</t>
  </si>
  <si>
    <t>W/m2</t>
  </si>
  <si>
    <t>-</t>
  </si>
  <si>
    <t>密度</t>
  </si>
  <si>
    <t>kg/㎥</t>
  </si>
  <si>
    <t>西壁</t>
  </si>
  <si>
    <t>容積比熱</t>
  </si>
  <si>
    <t>J/(㎥･K)</t>
  </si>
  <si>
    <t>東窓</t>
  </si>
  <si>
    <t>設定</t>
  </si>
  <si>
    <t>気象</t>
  </si>
  <si>
    <t>外気温度</t>
  </si>
  <si>
    <t>南窓</t>
  </si>
  <si>
    <t>法線面直達日射量</t>
  </si>
  <si>
    <t>北壁</t>
  </si>
  <si>
    <t>水平面天空日射量</t>
  </si>
  <si>
    <t>夜間放射</t>
  </si>
  <si>
    <t>太陽方位角</t>
  </si>
  <si>
    <t>太陽高度</t>
  </si>
  <si>
    <t>水平面全天日射量</t>
  </si>
  <si>
    <t>地面日射反射率</t>
  </si>
  <si>
    <t>地面反射日射量</t>
  </si>
  <si>
    <t>建物</t>
  </si>
  <si>
    <t>換気量</t>
  </si>
  <si>
    <t>㎥/s</t>
  </si>
  <si>
    <t>1㎥/h</t>
  </si>
  <si>
    <t>熱損失係数</t>
  </si>
  <si>
    <t>W/K</t>
  </si>
  <si>
    <t>内部発熱</t>
  </si>
  <si>
    <t>W</t>
  </si>
  <si>
    <t>透過日射床分配割合</t>
  </si>
  <si>
    <t>南面窓</t>
  </si>
  <si>
    <t>直達日射の透過率（南）</t>
  </si>
  <si>
    <t>直達日射の透過率（東）</t>
  </si>
  <si>
    <t>拡散日射の透過率</t>
  </si>
  <si>
    <t>直達日射の吸収日射熱取得率（南）</t>
  </si>
  <si>
    <t>将来的に修正が必要</t>
  </si>
  <si>
    <t>直達日射の吸収日射熱取得率（東）</t>
  </si>
  <si>
    <t>拡散日射の吸収日射熱取得率</t>
  </si>
  <si>
    <t>計算結果</t>
  </si>
  <si>
    <t>空気
熱損失</t>
  </si>
  <si>
    <t>対流</t>
  </si>
  <si>
    <t>換気</t>
  </si>
  <si>
    <t>合計</t>
  </si>
  <si>
    <t>温度</t>
  </si>
  <si>
    <t>室温</t>
  </si>
  <si>
    <t>微小球温度</t>
  </si>
  <si>
    <t>家具</t>
  </si>
  <si>
    <t>コンダクタンス</t>
  </si>
  <si>
    <t>熱容量</t>
  </si>
  <si>
    <t>J/K</t>
  </si>
  <si>
    <t>熱量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</si>
</sst>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.0000000000000"/>
    <numFmt numFmtId="177" formatCode="0.00000000000"/>
    <numFmt numFmtId="178" formatCode="0.000"/>
    <numFmt numFmtId="179" formatCode="0.00000000"/>
  </numFmts>
  <fonts count="4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9"/>
      <color theme="1"/>
      <name val="Meiryo UI"/>
      <family val="2"/>
      <charset val="128"/>
    </font>
    <font>
      <sz val="6"/>
      <name val="Meiryo UI"/>
      <family val="2"/>
      <charset val="128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59999389629810485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2" fillId="0" borderId="0">
      <alignment vertical="center"/>
    </xf>
  </cellStyleXfs>
  <cellXfs count="29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176" fontId="0" fillId="0" borderId="1" xfId="0" applyNumberFormat="1" applyBorder="1">
      <alignment vertical="center"/>
    </xf>
    <xf numFmtId="177" fontId="0" fillId="0" borderId="1" xfId="0" applyNumberFormat="1" applyBorder="1">
      <alignment vertical="center"/>
    </xf>
    <xf numFmtId="0" fontId="2" fillId="0" borderId="1" xfId="1" applyBorder="1">
      <alignment vertical="center"/>
    </xf>
    <xf numFmtId="0" fontId="2" fillId="0" borderId="0" xfId="1">
      <alignment vertical="center"/>
    </xf>
    <xf numFmtId="0" fontId="2" fillId="0" borderId="1" xfId="1" applyBorder="1" applyAlignment="1">
      <alignment vertical="center" wrapText="1"/>
    </xf>
    <xf numFmtId="0" fontId="2" fillId="2" borderId="1" xfId="1" applyFill="1" applyBorder="1">
      <alignment vertical="center"/>
    </xf>
    <xf numFmtId="2" fontId="2" fillId="0" borderId="1" xfId="1" applyNumberFormat="1" applyBorder="1">
      <alignment vertical="center"/>
    </xf>
    <xf numFmtId="178" fontId="2" fillId="0" borderId="1" xfId="1" applyNumberFormat="1" applyBorder="1">
      <alignment vertical="center"/>
    </xf>
    <xf numFmtId="179" fontId="2" fillId="0" borderId="1" xfId="1" applyNumberFormat="1" applyBorder="1">
      <alignment vertical="center"/>
    </xf>
    <xf numFmtId="179" fontId="2" fillId="2" borderId="1" xfId="1" applyNumberFormat="1" applyFill="1" applyBorder="1">
      <alignment vertical="center"/>
    </xf>
    <xf numFmtId="0" fontId="0" fillId="0" borderId="5" xfId="0" applyBorder="1" applyAlignment="1">
      <alignment horizontal="center" vertical="center"/>
    </xf>
    <xf numFmtId="0" fontId="0" fillId="0" borderId="5" xfId="0" applyBorder="1">
      <alignment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>
      <alignment vertical="center"/>
    </xf>
    <xf numFmtId="0" fontId="0" fillId="0" borderId="2" xfId="0" applyBorder="1">
      <alignment vertical="center"/>
    </xf>
    <xf numFmtId="0" fontId="0" fillId="0" borderId="4" xfId="0" applyBorder="1">
      <alignment vertical="center"/>
    </xf>
    <xf numFmtId="0" fontId="0" fillId="3" borderId="1" xfId="0" applyFill="1" applyBorder="1">
      <alignment vertical="center"/>
    </xf>
    <xf numFmtId="176" fontId="0" fillId="0" borderId="0" xfId="0" applyNumberFormat="1">
      <alignment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</cellXfs>
  <cellStyles count="2">
    <cellStyle name="標準" xfId="0" builtinId="0"/>
    <cellStyle name="標準 2" xfId="1" xr:uid="{FDFCF91B-4268-44BE-B85B-3219AF36E52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297180</xdr:colOff>
      <xdr:row>9</xdr:row>
      <xdr:rowOff>0</xdr:rowOff>
    </xdr:from>
    <xdr:ext cx="1526572" cy="558102"/>
    <xdr:sp macro="" textlink="">
      <xdr:nvSpPr>
        <xdr:cNvPr id="2" name="テキスト ボックス 1">
          <a:extLst>
            <a:ext uri="{FF2B5EF4-FFF2-40B4-BE49-F238E27FC236}">
              <a16:creationId xmlns:a16="http://schemas.microsoft.com/office/drawing/2014/main" id="{86AB42E6-2465-4BF1-B11E-26C47E726AE1}"/>
            </a:ext>
          </a:extLst>
        </xdr:cNvPr>
        <xdr:cNvSpPr txBox="1"/>
      </xdr:nvSpPr>
      <xdr:spPr>
        <a:xfrm>
          <a:off x="5341620" y="1600200"/>
          <a:ext cx="1526572" cy="558102"/>
        </a:xfrm>
        <a:prstGeom prst="rect">
          <a:avLst/>
        </a:prstGeom>
      </xdr:spPr>
      <xdr:style>
        <a:lnRef idx="2">
          <a:schemeClr val="accent6">
            <a:shade val="50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wrap="none" rtlCol="0" anchor="t">
          <a:spAutoFit/>
        </a:bodyPr>
        <a:lstStyle/>
        <a:p>
          <a:r>
            <a:rPr kumimoji="1" lang="en-US" altLang="ja-JP" sz="1100">
              <a:latin typeface="Meiryo UI" panose="020B0604030504040204" pitchFamily="50" charset="-128"/>
              <a:ea typeface="Meiryo UI" panose="020B0604030504040204" pitchFamily="50" charset="-128"/>
            </a:rPr>
            <a:t>D9</a:t>
          </a:r>
          <a:r>
            <a:rPr kumimoji="1" lang="ja-JP" altLang="en-US" sz="1100">
              <a:latin typeface="Meiryo UI" panose="020B0604030504040204" pitchFamily="50" charset="-128"/>
              <a:ea typeface="Meiryo UI" panose="020B0604030504040204" pitchFamily="50" charset="-128"/>
            </a:rPr>
            <a:t>が</a:t>
          </a:r>
          <a:r>
            <a:rPr kumimoji="1" lang="en-US" altLang="ja-JP" sz="1100">
              <a:latin typeface="Meiryo UI" panose="020B0604030504040204" pitchFamily="50" charset="-128"/>
              <a:ea typeface="Meiryo UI" panose="020B0604030504040204" pitchFamily="50" charset="-128"/>
            </a:rPr>
            <a:t>1.0</a:t>
          </a:r>
          <a:r>
            <a:rPr kumimoji="1" lang="ja-JP" altLang="en-US" sz="1100">
              <a:latin typeface="Meiryo UI" panose="020B0604030504040204" pitchFamily="50" charset="-128"/>
              <a:ea typeface="Meiryo UI" panose="020B0604030504040204" pitchFamily="50" charset="-128"/>
            </a:rPr>
            <a:t>となるように</a:t>
          </a:r>
          <a:endParaRPr kumimoji="1" lang="en-US" altLang="ja-JP" sz="1100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r>
            <a:rPr kumimoji="1" lang="en-US" altLang="ja-JP" sz="1100">
              <a:latin typeface="Meiryo UI" panose="020B0604030504040204" pitchFamily="50" charset="-128"/>
              <a:ea typeface="Meiryo UI" panose="020B0604030504040204" pitchFamily="50" charset="-128"/>
            </a:rPr>
            <a:t>H2</a:t>
          </a:r>
          <a:r>
            <a:rPr kumimoji="1" lang="ja-JP" altLang="en-US" sz="1100">
              <a:latin typeface="Meiryo UI" panose="020B0604030504040204" pitchFamily="50" charset="-128"/>
              <a:ea typeface="Meiryo UI" panose="020B0604030504040204" pitchFamily="50" charset="-128"/>
            </a:rPr>
            <a:t>を収束計算で求める</a:t>
          </a:r>
        </a:p>
      </xdr:txBody>
    </xdr:sp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420382</xdr:colOff>
      <xdr:row>28</xdr:row>
      <xdr:rowOff>79681</xdr:rowOff>
    </xdr:from>
    <xdr:to>
      <xdr:col>11</xdr:col>
      <xdr:colOff>36634</xdr:colOff>
      <xdr:row>29</xdr:row>
      <xdr:rowOff>80597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C1D2FF89-34CA-4897-B8D9-2D891A6D6832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t="1" r="42182" b="6988"/>
        <a:stretch/>
      </xdr:blipFill>
      <xdr:spPr>
        <a:xfrm>
          <a:off x="6925957" y="6747181"/>
          <a:ext cx="3359577" cy="239041"/>
        </a:xfrm>
        <a:prstGeom prst="rect">
          <a:avLst/>
        </a:prstGeom>
      </xdr:spPr>
    </xdr:pic>
    <xdr:clientData/>
  </xdr:twoCellAnchor>
  <xdr:twoCellAnchor editAs="oneCell">
    <xdr:from>
      <xdr:col>11</xdr:col>
      <xdr:colOff>190500</xdr:colOff>
      <xdr:row>28</xdr:row>
      <xdr:rowOff>73269</xdr:rowOff>
    </xdr:from>
    <xdr:to>
      <xdr:col>11</xdr:col>
      <xdr:colOff>1381606</xdr:colOff>
      <xdr:row>30</xdr:row>
      <xdr:rowOff>28019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2AB50D23-56CD-4CED-A928-F1094FB0E0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439400" y="6740769"/>
          <a:ext cx="1191106" cy="431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7D0BD2-17D5-49FF-838C-CD87363E756B}">
  <sheetPr codeName="Sheet1"/>
  <dimension ref="A1:H9"/>
  <sheetViews>
    <sheetView showGridLines="0" workbookViewId="0">
      <selection activeCell="B3" sqref="B3:B8"/>
    </sheetView>
  </sheetViews>
  <sheetFormatPr defaultColWidth="8.75" defaultRowHeight="12" x14ac:dyDescent="0.4"/>
  <cols>
    <col min="1" max="1" width="19" style="7" bestFit="1" customWidth="1"/>
    <col min="2" max="2" width="6.375" style="7" bestFit="1" customWidth="1"/>
    <col min="3" max="3" width="5.875" style="7" bestFit="1" customWidth="1"/>
    <col min="4" max="4" width="13.25" style="7" customWidth="1"/>
    <col min="5" max="5" width="8.75" style="7"/>
    <col min="6" max="6" width="12.875" style="7" customWidth="1"/>
    <col min="7" max="16384" width="8.75" style="7"/>
  </cols>
  <sheetData>
    <row r="1" spans="1:8" x14ac:dyDescent="0.4">
      <c r="A1" s="6"/>
      <c r="B1" s="6"/>
      <c r="C1" s="6"/>
      <c r="D1" s="6"/>
      <c r="E1" s="6"/>
      <c r="F1" s="6" t="s">
        <v>5</v>
      </c>
    </row>
    <row r="2" spans="1:8" ht="24" x14ac:dyDescent="0.4">
      <c r="A2" s="6"/>
      <c r="B2" s="6" t="s">
        <v>6</v>
      </c>
      <c r="C2" s="6" t="s">
        <v>7</v>
      </c>
      <c r="D2" s="8" t="s">
        <v>8</v>
      </c>
      <c r="E2" s="6" t="s">
        <v>9</v>
      </c>
      <c r="F2" s="8" t="s">
        <v>10</v>
      </c>
      <c r="G2" s="6" t="s">
        <v>11</v>
      </c>
      <c r="H2" s="9">
        <v>1.199999999980782</v>
      </c>
    </row>
    <row r="3" spans="1:8" x14ac:dyDescent="0.4">
      <c r="A3" s="6" t="s">
        <v>14</v>
      </c>
      <c r="B3" s="10">
        <f>正解値!S23</f>
        <v>1</v>
      </c>
      <c r="C3" s="11">
        <f t="shared" ref="C3:C8" si="0">B3/$B$9</f>
        <v>0.16666666666666666</v>
      </c>
      <c r="D3" s="12">
        <f t="shared" ref="D3:D8" si="1">0.5*(1-SIGN(1-4*C3/$H$2)*SQRT(ABS(1-4*C3/$H$2)))</f>
        <v>0.16666666667000313</v>
      </c>
      <c r="E3" s="6">
        <v>0.9</v>
      </c>
      <c r="F3" s="12">
        <f t="shared" ref="F3:F8" si="2">E3/(1-E3*D3)*4*0.0000000567*($H$3+273.15)^3</f>
        <v>6.0497346947957293</v>
      </c>
      <c r="G3" s="6" t="s">
        <v>12</v>
      </c>
      <c r="H3" s="6">
        <v>20</v>
      </c>
    </row>
    <row r="4" spans="1:8" x14ac:dyDescent="0.4">
      <c r="A4" s="6" t="s">
        <v>14</v>
      </c>
      <c r="B4" s="10">
        <f>正解値!S24</f>
        <v>1</v>
      </c>
      <c r="C4" s="11">
        <f t="shared" si="0"/>
        <v>0.16666666666666666</v>
      </c>
      <c r="D4" s="12">
        <f t="shared" si="1"/>
        <v>0.16666666667000313</v>
      </c>
      <c r="E4" s="6">
        <v>0.9</v>
      </c>
      <c r="F4" s="12">
        <f t="shared" si="2"/>
        <v>6.0497346947957293</v>
      </c>
    </row>
    <row r="5" spans="1:8" x14ac:dyDescent="0.4">
      <c r="A5" s="6" t="s">
        <v>14</v>
      </c>
      <c r="B5" s="10">
        <f>正解値!S25</f>
        <v>1</v>
      </c>
      <c r="C5" s="11">
        <f t="shared" si="0"/>
        <v>0.16666666666666666</v>
      </c>
      <c r="D5" s="12">
        <f t="shared" si="1"/>
        <v>0.16666666667000313</v>
      </c>
      <c r="E5" s="6">
        <v>0.9</v>
      </c>
      <c r="F5" s="12">
        <f t="shared" si="2"/>
        <v>6.0497346947957293</v>
      </c>
    </row>
    <row r="6" spans="1:8" x14ac:dyDescent="0.4">
      <c r="A6" s="6" t="s">
        <v>14</v>
      </c>
      <c r="B6" s="10">
        <f>正解値!S26</f>
        <v>1</v>
      </c>
      <c r="C6" s="11">
        <f t="shared" si="0"/>
        <v>0.16666666666666666</v>
      </c>
      <c r="D6" s="12">
        <f t="shared" si="1"/>
        <v>0.16666666667000313</v>
      </c>
      <c r="E6" s="6">
        <v>0.9</v>
      </c>
      <c r="F6" s="12">
        <f t="shared" si="2"/>
        <v>6.0497346947957293</v>
      </c>
    </row>
    <row r="7" spans="1:8" x14ac:dyDescent="0.4">
      <c r="A7" s="6" t="s">
        <v>15</v>
      </c>
      <c r="B7" s="10">
        <f>正解値!S27</f>
        <v>1</v>
      </c>
      <c r="C7" s="11">
        <f t="shared" si="0"/>
        <v>0.16666666666666666</v>
      </c>
      <c r="D7" s="12">
        <f t="shared" si="1"/>
        <v>0.16666666667000313</v>
      </c>
      <c r="E7" s="6">
        <v>0.9</v>
      </c>
      <c r="F7" s="12">
        <f t="shared" si="2"/>
        <v>6.0497346947957293</v>
      </c>
    </row>
    <row r="8" spans="1:8" x14ac:dyDescent="0.4">
      <c r="A8" s="6" t="s">
        <v>16</v>
      </c>
      <c r="B8" s="10">
        <f>正解値!S28</f>
        <v>1</v>
      </c>
      <c r="C8" s="11">
        <f t="shared" si="0"/>
        <v>0.16666666666666666</v>
      </c>
      <c r="D8" s="12">
        <f t="shared" si="1"/>
        <v>0.16666666667000313</v>
      </c>
      <c r="E8" s="6">
        <v>0.9</v>
      </c>
      <c r="F8" s="12">
        <f t="shared" si="2"/>
        <v>6.0497346947957293</v>
      </c>
    </row>
    <row r="9" spans="1:8" x14ac:dyDescent="0.4">
      <c r="A9" s="6" t="s">
        <v>13</v>
      </c>
      <c r="B9" s="10">
        <f>SUM(B3:B8)</f>
        <v>6</v>
      </c>
      <c r="C9" s="6"/>
      <c r="D9" s="13">
        <f>SUM(D3:D8)</f>
        <v>1.0000000000200189</v>
      </c>
      <c r="E9" s="6"/>
      <c r="F9" s="6"/>
    </row>
  </sheetData>
  <phoneticPr fontId="1"/>
  <pageMargins left="0.7" right="0.7" top="0.75" bottom="0.75" header="0.3" footer="0.3"/>
  <pageSetup paperSize="9" orientation="portrait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A0768E-5CDA-41D5-9EEE-AFD545298F30}">
  <sheetPr codeName="Sheet2"/>
  <dimension ref="A1:AH55"/>
  <sheetViews>
    <sheetView showGridLines="0" tabSelected="1" topLeftCell="AC16" zoomScaleNormal="100" workbookViewId="0">
      <selection activeCell="AF30" sqref="AF30"/>
    </sheetView>
  </sheetViews>
  <sheetFormatPr defaultRowHeight="18.75" x14ac:dyDescent="0.4"/>
  <cols>
    <col min="3" max="3" width="29.5" customWidth="1"/>
    <col min="4" max="4" width="14.375" bestFit="1" customWidth="1"/>
    <col min="6" max="6" width="14.75" bestFit="1" customWidth="1"/>
    <col min="9" max="10" width="13.375" bestFit="1" customWidth="1"/>
    <col min="11" max="11" width="13.375" customWidth="1"/>
    <col min="12" max="13" width="21.25" bestFit="1" customWidth="1"/>
    <col min="14" max="14" width="21.25" customWidth="1"/>
    <col min="15" max="15" width="13.375" customWidth="1"/>
    <col min="16" max="16" width="15.125" bestFit="1" customWidth="1"/>
    <col min="17" max="17" width="15.125" customWidth="1"/>
    <col min="18" max="18" width="12.375" bestFit="1" customWidth="1"/>
    <col min="19" max="19" width="5" bestFit="1" customWidth="1"/>
    <col min="20" max="20" width="7.125" bestFit="1" customWidth="1"/>
    <col min="21" max="22" width="12.625" bestFit="1" customWidth="1"/>
    <col min="23" max="24" width="20.25" bestFit="1" customWidth="1"/>
    <col min="25" max="25" width="12.625" bestFit="1" customWidth="1"/>
    <col min="26" max="26" width="28.125" bestFit="1" customWidth="1"/>
    <col min="27" max="27" width="8.625" bestFit="1" customWidth="1"/>
    <col min="28" max="28" width="16" bestFit="1" customWidth="1"/>
    <col min="29" max="29" width="12.625" bestFit="1" customWidth="1"/>
    <col min="30" max="31" width="16.25" bestFit="1" customWidth="1"/>
    <col min="32" max="32" width="19.625" bestFit="1" customWidth="1"/>
    <col min="33" max="33" width="21.875" bestFit="1" customWidth="1"/>
    <col min="34" max="34" width="26.125" bestFit="1" customWidth="1"/>
  </cols>
  <sheetData>
    <row r="1" spans="1:1" x14ac:dyDescent="0.4">
      <c r="A1" t="s">
        <v>17</v>
      </c>
    </row>
    <row r="2" spans="1:1" x14ac:dyDescent="0.4">
      <c r="A2" t="s">
        <v>18</v>
      </c>
    </row>
    <row r="3" spans="1:1" x14ac:dyDescent="0.4">
      <c r="A3" t="s">
        <v>19</v>
      </c>
    </row>
    <row r="4" spans="1:1" x14ac:dyDescent="0.4">
      <c r="A4" t="s">
        <v>20</v>
      </c>
    </row>
    <row r="6" spans="1:1" x14ac:dyDescent="0.4">
      <c r="A6" t="s">
        <v>21</v>
      </c>
    </row>
    <row r="7" spans="1:1" x14ac:dyDescent="0.4">
      <c r="A7" t="s">
        <v>22</v>
      </c>
    </row>
    <row r="8" spans="1:1" x14ac:dyDescent="0.4">
      <c r="A8" t="s">
        <v>23</v>
      </c>
    </row>
    <row r="9" spans="1:1" x14ac:dyDescent="0.4">
      <c r="A9" t="s">
        <v>24</v>
      </c>
    </row>
    <row r="10" spans="1:1" x14ac:dyDescent="0.4">
      <c r="A10" t="s">
        <v>25</v>
      </c>
    </row>
    <row r="11" spans="1:1" x14ac:dyDescent="0.4">
      <c r="A11" t="s">
        <v>26</v>
      </c>
    </row>
    <row r="12" spans="1:1" x14ac:dyDescent="0.4">
      <c r="A12" t="s">
        <v>27</v>
      </c>
    </row>
    <row r="13" spans="1:1" x14ac:dyDescent="0.4">
      <c r="A13" t="s">
        <v>28</v>
      </c>
    </row>
    <row r="14" spans="1:1" x14ac:dyDescent="0.4">
      <c r="A14" t="s">
        <v>29</v>
      </c>
    </row>
    <row r="15" spans="1:1" x14ac:dyDescent="0.4">
      <c r="A15" t="s">
        <v>30</v>
      </c>
    </row>
    <row r="16" spans="1:1" x14ac:dyDescent="0.4">
      <c r="A16" t="s">
        <v>31</v>
      </c>
    </row>
    <row r="18" spans="1:34" x14ac:dyDescent="0.4">
      <c r="A18" t="s">
        <v>32</v>
      </c>
    </row>
    <row r="19" spans="1:34" x14ac:dyDescent="0.4">
      <c r="A19" t="s">
        <v>33</v>
      </c>
    </row>
    <row r="20" spans="1:34" x14ac:dyDescent="0.4">
      <c r="K20" t="s">
        <v>34</v>
      </c>
    </row>
    <row r="21" spans="1:34" x14ac:dyDescent="0.4">
      <c r="A21" s="24" t="s">
        <v>35</v>
      </c>
      <c r="B21" s="24"/>
      <c r="C21" s="24"/>
      <c r="D21" s="2" t="s">
        <v>36</v>
      </c>
      <c r="E21" s="2" t="s">
        <v>37</v>
      </c>
      <c r="F21" s="2" t="s">
        <v>38</v>
      </c>
      <c r="H21" s="1"/>
      <c r="I21" s="2" t="s">
        <v>39</v>
      </c>
      <c r="J21" s="2" t="s">
        <v>40</v>
      </c>
      <c r="K21" s="2" t="s">
        <v>41</v>
      </c>
      <c r="L21" s="2" t="s">
        <v>42</v>
      </c>
      <c r="M21" s="2" t="s">
        <v>43</v>
      </c>
      <c r="N21" s="2" t="s">
        <v>44</v>
      </c>
      <c r="O21" s="2" t="s">
        <v>45</v>
      </c>
      <c r="P21" s="2" t="s">
        <v>46</v>
      </c>
      <c r="Q21" s="2" t="s">
        <v>47</v>
      </c>
      <c r="R21" s="2" t="s">
        <v>48</v>
      </c>
      <c r="S21" s="2" t="s">
        <v>49</v>
      </c>
      <c r="T21" s="2" t="s">
        <v>50</v>
      </c>
      <c r="U21" s="2" t="s">
        <v>51</v>
      </c>
      <c r="V21" s="2" t="s">
        <v>52</v>
      </c>
      <c r="W21" s="2" t="s">
        <v>53</v>
      </c>
      <c r="X21" s="2" t="s">
        <v>54</v>
      </c>
      <c r="Y21" s="2" t="s">
        <v>55</v>
      </c>
      <c r="Z21" s="2" t="s">
        <v>56</v>
      </c>
      <c r="AA21" s="2" t="s">
        <v>57</v>
      </c>
      <c r="AB21" s="2" t="s">
        <v>58</v>
      </c>
      <c r="AC21" s="2" t="s">
        <v>59</v>
      </c>
      <c r="AD21" s="2" t="s">
        <v>60</v>
      </c>
      <c r="AE21" s="2" t="s">
        <v>61</v>
      </c>
      <c r="AF21" s="2" t="s">
        <v>62</v>
      </c>
      <c r="AG21" s="2" t="s">
        <v>63</v>
      </c>
      <c r="AH21" s="14" t="s">
        <v>64</v>
      </c>
    </row>
    <row r="22" spans="1:34" x14ac:dyDescent="0.4">
      <c r="A22" s="25" t="s">
        <v>65</v>
      </c>
      <c r="B22" s="25" t="s">
        <v>66</v>
      </c>
      <c r="C22" s="1" t="s">
        <v>67</v>
      </c>
      <c r="D22" s="1">
        <v>1005</v>
      </c>
      <c r="E22" s="2" t="s">
        <v>68</v>
      </c>
      <c r="F22" s="2"/>
      <c r="H22" s="1"/>
      <c r="I22" s="2" t="s">
        <v>69</v>
      </c>
      <c r="J22" s="2" t="s">
        <v>69</v>
      </c>
      <c r="K22" s="2" t="s">
        <v>70</v>
      </c>
      <c r="L22" s="2" t="s">
        <v>70</v>
      </c>
      <c r="M22" s="2" t="s">
        <v>70</v>
      </c>
      <c r="N22" s="2" t="s">
        <v>70</v>
      </c>
      <c r="O22" s="2" t="s">
        <v>71</v>
      </c>
      <c r="P22" s="2" t="s">
        <v>71</v>
      </c>
      <c r="Q22" s="2" t="s">
        <v>71</v>
      </c>
      <c r="R22" s="2" t="s">
        <v>0</v>
      </c>
      <c r="S22" s="2" t="s">
        <v>3</v>
      </c>
      <c r="T22" s="2" t="s">
        <v>72</v>
      </c>
      <c r="U22" s="2" t="s">
        <v>2</v>
      </c>
      <c r="V22" s="2" t="s">
        <v>2</v>
      </c>
      <c r="W22" s="2" t="s">
        <v>1</v>
      </c>
      <c r="X22" s="2" t="s">
        <v>1</v>
      </c>
      <c r="Y22" s="2" t="s">
        <v>1</v>
      </c>
      <c r="Z22" s="2" t="s">
        <v>2</v>
      </c>
      <c r="AA22" s="2" t="s">
        <v>4</v>
      </c>
      <c r="AB22" s="2" t="s">
        <v>0</v>
      </c>
      <c r="AC22" s="2" t="s">
        <v>0</v>
      </c>
      <c r="AD22" s="2" t="s">
        <v>4</v>
      </c>
      <c r="AE22" s="2" t="s">
        <v>4</v>
      </c>
      <c r="AF22" s="2" t="s">
        <v>4</v>
      </c>
      <c r="AG22" s="1"/>
      <c r="AH22" s="14" t="s">
        <v>0</v>
      </c>
    </row>
    <row r="23" spans="1:34" x14ac:dyDescent="0.4">
      <c r="A23" s="26"/>
      <c r="B23" s="26"/>
      <c r="C23" s="1" t="s">
        <v>73</v>
      </c>
      <c r="D23" s="1">
        <v>1.2</v>
      </c>
      <c r="E23" s="2" t="s">
        <v>74</v>
      </c>
      <c r="F23" s="2"/>
      <c r="H23" s="2" t="s">
        <v>75</v>
      </c>
      <c r="I23" s="1">
        <f>RADIANS(90)</f>
        <v>1.5707963267948966</v>
      </c>
      <c r="J23" s="1">
        <f>RADIANS(90)</f>
        <v>1.5707963267948966</v>
      </c>
      <c r="K23" s="1">
        <f t="shared" ref="K23:K28" si="0">MAX(SIN($D$30)*COS(I23)+COS($D$30)*SIN(I23)*COS($D$29-J23),0)</f>
        <v>0</v>
      </c>
      <c r="L23" s="1">
        <f t="shared" ref="L23:L28" si="1">(1+COS(I23))/2</f>
        <v>0.5</v>
      </c>
      <c r="M23" s="1">
        <f t="shared" ref="M23:M28" si="2">1-L23</f>
        <v>0.5</v>
      </c>
      <c r="N23" s="1">
        <v>0.8</v>
      </c>
      <c r="O23" s="1">
        <f t="shared" ref="O23:O28" si="3">$D$26*K23+$D$27*L23+$D$33*M23</f>
        <v>127.5</v>
      </c>
      <c r="P23" s="1" t="s">
        <v>70</v>
      </c>
      <c r="Q23" s="1" t="s">
        <v>70</v>
      </c>
      <c r="R23" s="1">
        <f>$D$25+O23*N23*0.04</f>
        <v>4.08</v>
      </c>
      <c r="S23" s="1">
        <v>1</v>
      </c>
      <c r="T23" s="1">
        <v>0.9</v>
      </c>
      <c r="U23" s="1">
        <f>熱伝達率!$F4</f>
        <v>6.0497346947957293</v>
      </c>
      <c r="V23" s="1">
        <f t="shared" ref="V23:V28" si="4">1/$W23-$U23</f>
        <v>3.0411743961133624</v>
      </c>
      <c r="W23" s="1">
        <v>0.11</v>
      </c>
      <c r="X23" s="1">
        <v>0.04</v>
      </c>
      <c r="Y23" s="1">
        <f>0.012/0.16</f>
        <v>7.4999999999999997E-2</v>
      </c>
      <c r="Z23" s="1">
        <f t="shared" ref="Z23:Z28" si="5">1/(1/$V23+$Y23+$X23)</f>
        <v>2.2531639699224377</v>
      </c>
      <c r="AA23" s="1"/>
      <c r="AB23" s="5">
        <f t="shared" ref="AB23:AB28" ca="1" si="6">$R23+($AC23-$R23)*SUM($X23,$Y23)/SUM($X23,$Y23,$W23)</f>
        <v>14.264167459734583</v>
      </c>
      <c r="AC23" s="1">
        <f t="shared" ref="AC23:AC28" ca="1" si="7">($D$50*$V23+$D$51*$U23)/SUM($V23,$U23)+$AA23/SUM($V23,$U23)</f>
        <v>24.005545029915471</v>
      </c>
      <c r="AD23" s="1">
        <f t="shared" ref="AD23:AD28" ca="1" si="8">($D$50-$AB23)*$V23</f>
        <v>64.99130831025893</v>
      </c>
      <c r="AE23" s="1">
        <f t="shared" ref="AE23:AE28" ca="1" si="9">($D$51-$AB23)*$U23</f>
        <v>23.566669600476423</v>
      </c>
      <c r="AF23" s="4">
        <f t="shared" ref="AF23:AF28" ca="1" si="10">SUM($AD23,$AE23)+AA23</f>
        <v>88.55797791073536</v>
      </c>
      <c r="AG23" s="1">
        <f>(1-$AG$27)*S23/SUM($S$23:$S$26,$S$28)</f>
        <v>0.11000000000000001</v>
      </c>
      <c r="AH23" s="15">
        <f ca="1">SUMPRODUCT(AB23:AB28,AG23:AG28)</f>
        <v>22.544868132141037</v>
      </c>
    </row>
    <row r="24" spans="1:34" x14ac:dyDescent="0.4">
      <c r="A24" s="27"/>
      <c r="B24" s="27"/>
      <c r="C24" s="1" t="s">
        <v>76</v>
      </c>
      <c r="D24" s="1">
        <f>$D$22*$D$23</f>
        <v>1206</v>
      </c>
      <c r="E24" s="2" t="s">
        <v>77</v>
      </c>
      <c r="F24" s="2"/>
      <c r="H24" s="2" t="s">
        <v>78</v>
      </c>
      <c r="I24" s="1">
        <f>RADIANS(90)</f>
        <v>1.5707963267948966</v>
      </c>
      <c r="J24" s="1">
        <f>-RADIANS(90)</f>
        <v>-1.5707963267948966</v>
      </c>
      <c r="K24" s="1">
        <f t="shared" si="0"/>
        <v>0.22414386804201342</v>
      </c>
      <c r="L24" s="1">
        <f t="shared" si="1"/>
        <v>0.5</v>
      </c>
      <c r="M24" s="1">
        <f t="shared" si="2"/>
        <v>0.5</v>
      </c>
      <c r="N24" s="1">
        <v>0.8</v>
      </c>
      <c r="O24" s="1">
        <f t="shared" si="3"/>
        <v>284.4007076294094</v>
      </c>
      <c r="P24" s="1">
        <f>$D$26*K24*$D$43+($D$27*L24+$D$33*M24)*$D$44</f>
        <v>20.880097359031907</v>
      </c>
      <c r="Q24" s="1">
        <f>$D$26*K24*$D$40+($D$27*L24+$D$33*M24)*$D$41</f>
        <v>121.8867638004433</v>
      </c>
      <c r="R24" s="1">
        <f>$D$25+P24/4.65</f>
        <v>4.490343518071378</v>
      </c>
      <c r="S24" s="1">
        <v>1</v>
      </c>
      <c r="T24" s="1">
        <v>0.9</v>
      </c>
      <c r="U24" s="1">
        <f>熱伝達率!$F5</f>
        <v>6.0497346947957293</v>
      </c>
      <c r="V24" s="1">
        <f t="shared" si="4"/>
        <v>3.0411743961133624</v>
      </c>
      <c r="W24" s="1">
        <v>0.11</v>
      </c>
      <c r="X24" s="1">
        <v>0.04</v>
      </c>
      <c r="Y24" s="1">
        <f>1/4.65-SUM(W24:X24)</f>
        <v>6.5053763440860196E-2</v>
      </c>
      <c r="Z24" s="1">
        <f t="shared" si="5"/>
        <v>2.304816054376122</v>
      </c>
      <c r="AA24" s="1"/>
      <c r="AB24" s="5">
        <f t="shared" ca="1" si="6"/>
        <v>14.023519456607229</v>
      </c>
      <c r="AC24" s="1">
        <f t="shared" ca="1" si="7"/>
        <v>24.005545029915471</v>
      </c>
      <c r="AD24" s="1">
        <f t="shared" ca="1" si="8"/>
        <v>65.723160855845649</v>
      </c>
      <c r="AE24" s="1">
        <f t="shared" ca="1" si="9"/>
        <v>25.022526174229291</v>
      </c>
      <c r="AF24" s="4">
        <f t="shared" ca="1" si="10"/>
        <v>90.745687030074947</v>
      </c>
      <c r="AG24" s="1">
        <f>(1-$AG$27)*S24/SUM($S$23:$S$26,$S$28)</f>
        <v>0.11000000000000001</v>
      </c>
    </row>
    <row r="25" spans="1:34" x14ac:dyDescent="0.4">
      <c r="A25" s="16" t="s">
        <v>79</v>
      </c>
      <c r="B25" s="16" t="s">
        <v>80</v>
      </c>
      <c r="C25" s="1" t="s">
        <v>81</v>
      </c>
      <c r="D25" s="1">
        <v>0</v>
      </c>
      <c r="E25" s="2" t="s">
        <v>0</v>
      </c>
      <c r="F25" s="1"/>
      <c r="H25" s="2" t="s">
        <v>82</v>
      </c>
      <c r="I25" s="1">
        <f>RADIANS(90)</f>
        <v>1.5707963267948966</v>
      </c>
      <c r="J25" s="1">
        <f>RADIANS(0)</f>
        <v>0</v>
      </c>
      <c r="K25" s="1">
        <f t="shared" si="0"/>
        <v>0.83651630373780794</v>
      </c>
      <c r="L25" s="1">
        <f t="shared" si="1"/>
        <v>0.5</v>
      </c>
      <c r="M25" s="1">
        <f t="shared" si="2"/>
        <v>0.5</v>
      </c>
      <c r="N25" s="1">
        <v>0.8</v>
      </c>
      <c r="O25" s="1">
        <f t="shared" si="3"/>
        <v>713.06141261646553</v>
      </c>
      <c r="P25" s="1">
        <f>$D$26*K25*$D$42+($D$27*L25+$D$33*M25)*$D$44</f>
        <v>24.982595617897605</v>
      </c>
      <c r="Q25" s="1">
        <f>$D$26*K25*$D$39+($D$27*L25+$D$33*M25)*$D$41</f>
        <v>515.84663134632706</v>
      </c>
      <c r="R25" s="1">
        <f>$D$25+P25/4.65</f>
        <v>5.3726012081500221</v>
      </c>
      <c r="S25" s="1">
        <v>1</v>
      </c>
      <c r="T25" s="1">
        <v>0.9</v>
      </c>
      <c r="U25" s="1">
        <f>熱伝達率!$F3</f>
        <v>6.0497346947957293</v>
      </c>
      <c r="V25" s="1">
        <f t="shared" si="4"/>
        <v>3.0411743961133624</v>
      </c>
      <c r="W25" s="1">
        <v>0.11</v>
      </c>
      <c r="X25" s="1">
        <v>0.04</v>
      </c>
      <c r="Y25" s="1">
        <f>1/4.65-SUM(W25:X25)</f>
        <v>6.5053763440860196E-2</v>
      </c>
      <c r="Z25" s="1">
        <f t="shared" si="5"/>
        <v>2.304816054376122</v>
      </c>
      <c r="AA25" s="1"/>
      <c r="AB25" s="5">
        <f t="shared" ca="1" si="6"/>
        <v>14.474794265082455</v>
      </c>
      <c r="AC25" s="1">
        <f t="shared" ca="1" si="7"/>
        <v>24.005545029915471</v>
      </c>
      <c r="AD25" s="1">
        <f t="shared" ca="1" si="8"/>
        <v>64.350755462699837</v>
      </c>
      <c r="AE25" s="1">
        <f t="shared" ca="1" si="9"/>
        <v>22.292433308509416</v>
      </c>
      <c r="AF25" s="4">
        <f t="shared" ca="1" si="10"/>
        <v>86.643188771209253</v>
      </c>
      <c r="AG25" s="1">
        <f>(1-$AG$27)*S25/SUM($S$23:$S$26,$S$28)</f>
        <v>0.11000000000000001</v>
      </c>
    </row>
    <row r="26" spans="1:34" x14ac:dyDescent="0.4">
      <c r="A26" s="18"/>
      <c r="B26" s="18"/>
      <c r="C26" s="1" t="s">
        <v>83</v>
      </c>
      <c r="D26" s="1">
        <v>700</v>
      </c>
      <c r="E26" s="2" t="s">
        <v>71</v>
      </c>
      <c r="F26" s="1"/>
      <c r="H26" s="2" t="s">
        <v>84</v>
      </c>
      <c r="I26" s="1">
        <f>RADIANS(90)</f>
        <v>1.5707963267948966</v>
      </c>
      <c r="J26" s="1">
        <f>RADIANS(180)</f>
        <v>3.1415926535897931</v>
      </c>
      <c r="K26" s="1">
        <f t="shared" si="0"/>
        <v>0</v>
      </c>
      <c r="L26" s="1">
        <f t="shared" si="1"/>
        <v>0.5</v>
      </c>
      <c r="M26" s="1">
        <f t="shared" si="2"/>
        <v>0.5</v>
      </c>
      <c r="N26" s="1">
        <v>0.8</v>
      </c>
      <c r="O26" s="1">
        <f t="shared" si="3"/>
        <v>127.5</v>
      </c>
      <c r="P26" s="1" t="s">
        <v>70</v>
      </c>
      <c r="Q26" s="1" t="s">
        <v>70</v>
      </c>
      <c r="R26" s="1">
        <f>$D$25+O26*N26*0.04</f>
        <v>4.08</v>
      </c>
      <c r="S26" s="1">
        <v>1</v>
      </c>
      <c r="T26" s="1">
        <v>0.9</v>
      </c>
      <c r="U26" s="1">
        <f>熱伝達率!$F6</f>
        <v>6.0497346947957293</v>
      </c>
      <c r="V26" s="1">
        <f t="shared" si="4"/>
        <v>3.0411743961133624</v>
      </c>
      <c r="W26" s="1">
        <v>0.11</v>
      </c>
      <c r="X26" s="1">
        <v>0.04</v>
      </c>
      <c r="Y26" s="1">
        <f>0.012/0.16</f>
        <v>7.4999999999999997E-2</v>
      </c>
      <c r="Z26" s="1">
        <f t="shared" si="5"/>
        <v>2.2531639699224377</v>
      </c>
      <c r="AA26" s="1"/>
      <c r="AB26" s="5">
        <f t="shared" ca="1" si="6"/>
        <v>14.264167459734583</v>
      </c>
      <c r="AC26" s="1">
        <f t="shared" ca="1" si="7"/>
        <v>24.005545029915471</v>
      </c>
      <c r="AD26" s="1">
        <f t="shared" ca="1" si="8"/>
        <v>64.99130831025893</v>
      </c>
      <c r="AE26" s="1">
        <f t="shared" ca="1" si="9"/>
        <v>23.566669600476423</v>
      </c>
      <c r="AF26" s="4">
        <f t="shared" ca="1" si="10"/>
        <v>88.55797791073536</v>
      </c>
      <c r="AG26" s="1">
        <f>(1-$AG$27)*S26/SUM($S$23:$S$26,$S$28)</f>
        <v>0.11000000000000001</v>
      </c>
    </row>
    <row r="27" spans="1:34" x14ac:dyDescent="0.4">
      <c r="A27" s="18"/>
      <c r="B27" s="18"/>
      <c r="C27" s="1" t="s">
        <v>85</v>
      </c>
      <c r="D27" s="1">
        <v>200</v>
      </c>
      <c r="E27" s="2" t="s">
        <v>71</v>
      </c>
      <c r="F27" s="1"/>
      <c r="H27" s="2" t="s">
        <v>15</v>
      </c>
      <c r="I27" s="1">
        <f>RADIANS(180)</f>
        <v>3.1415926535897931</v>
      </c>
      <c r="J27" s="1">
        <f>RADIANS(0)</f>
        <v>0</v>
      </c>
      <c r="K27" s="1">
        <f t="shared" si="0"/>
        <v>0</v>
      </c>
      <c r="L27" s="1">
        <f t="shared" si="1"/>
        <v>0</v>
      </c>
      <c r="M27" s="1">
        <f t="shared" si="2"/>
        <v>1</v>
      </c>
      <c r="N27" s="1">
        <v>0.8</v>
      </c>
      <c r="O27" s="1">
        <f t="shared" si="3"/>
        <v>55</v>
      </c>
      <c r="P27" s="1" t="s">
        <v>70</v>
      </c>
      <c r="Q27" s="1" t="s">
        <v>70</v>
      </c>
      <c r="R27" s="1">
        <f>$D$25+O27*N27*0.04</f>
        <v>1.76</v>
      </c>
      <c r="S27" s="1">
        <v>1</v>
      </c>
      <c r="T27" s="1">
        <v>0.9</v>
      </c>
      <c r="U27" s="1">
        <f>熱伝達率!$F7</f>
        <v>6.0497346947957293</v>
      </c>
      <c r="V27" s="1">
        <f t="shared" si="4"/>
        <v>3.0411743961133624</v>
      </c>
      <c r="W27" s="1">
        <v>0.11</v>
      </c>
      <c r="X27" s="1">
        <v>0.04</v>
      </c>
      <c r="Y27" s="1">
        <f>0.012/0.16</f>
        <v>7.4999999999999997E-2</v>
      </c>
      <c r="Z27" s="1">
        <f t="shared" si="5"/>
        <v>2.2531639699224377</v>
      </c>
      <c r="AA27" s="1">
        <f>($D$37*$D$38)/$S27</f>
        <v>318.86669757338518</v>
      </c>
      <c r="AB27" s="5">
        <f t="shared" ca="1" si="6"/>
        <v>31.057339567749352</v>
      </c>
      <c r="AC27" s="1">
        <f t="shared" ca="1" si="7"/>
        <v>59.080881762987843</v>
      </c>
      <c r="AD27" s="1">
        <f t="shared" ca="1" si="8"/>
        <v>13.920343265839355</v>
      </c>
      <c r="AE27" s="1">
        <f t="shared" ca="1" si="9"/>
        <v>-78.027566337056456</v>
      </c>
      <c r="AF27" s="4">
        <f t="shared" ca="1" si="10"/>
        <v>254.75947450216808</v>
      </c>
      <c r="AG27" s="1">
        <v>0.45</v>
      </c>
    </row>
    <row r="28" spans="1:34" x14ac:dyDescent="0.4">
      <c r="A28" s="18"/>
      <c r="B28" s="18"/>
      <c r="C28" s="1" t="s">
        <v>86</v>
      </c>
      <c r="D28" s="1">
        <v>0</v>
      </c>
      <c r="E28" s="2" t="s">
        <v>71</v>
      </c>
      <c r="F28" s="1"/>
      <c r="H28" s="2" t="s">
        <v>16</v>
      </c>
      <c r="I28" s="1">
        <f>RADIANS(0)</f>
        <v>0</v>
      </c>
      <c r="J28" s="1">
        <f>RADIANS(0)</f>
        <v>0</v>
      </c>
      <c r="K28" s="1">
        <f t="shared" si="0"/>
        <v>0.49999999999999994</v>
      </c>
      <c r="L28" s="1">
        <f t="shared" si="1"/>
        <v>1</v>
      </c>
      <c r="M28" s="1">
        <f t="shared" si="2"/>
        <v>0</v>
      </c>
      <c r="N28" s="1">
        <v>0.8</v>
      </c>
      <c r="O28" s="1">
        <f t="shared" si="3"/>
        <v>550</v>
      </c>
      <c r="P28" s="1" t="s">
        <v>70</v>
      </c>
      <c r="Q28" s="1" t="s">
        <v>70</v>
      </c>
      <c r="R28" s="1">
        <f>$D$25+O28*N28*0.04</f>
        <v>17.600000000000001</v>
      </c>
      <c r="S28" s="1">
        <v>1</v>
      </c>
      <c r="T28" s="1">
        <v>0.9</v>
      </c>
      <c r="U28" s="1">
        <f>熱伝達率!$F8</f>
        <v>6.0497346947957293</v>
      </c>
      <c r="V28" s="1">
        <f t="shared" si="4"/>
        <v>3.0411743961133624</v>
      </c>
      <c r="W28" s="1">
        <v>0.11</v>
      </c>
      <c r="X28" s="1">
        <v>0.04</v>
      </c>
      <c r="Y28" s="1">
        <f>0.012/0.16</f>
        <v>7.4999999999999997E-2</v>
      </c>
      <c r="Z28" s="1">
        <f t="shared" si="5"/>
        <v>2.2531639699224377</v>
      </c>
      <c r="AA28" s="1"/>
      <c r="AB28" s="5">
        <f t="shared" ca="1" si="6"/>
        <v>20.873945237512363</v>
      </c>
      <c r="AC28" s="1">
        <f t="shared" ca="1" si="7"/>
        <v>24.005545029915471</v>
      </c>
      <c r="AD28" s="1">
        <f t="shared" ca="1" si="8"/>
        <v>44.889821368482067</v>
      </c>
      <c r="AE28" s="1">
        <f t="shared" ca="1" si="9"/>
        <v>-16.420732346635628</v>
      </c>
      <c r="AF28" s="4">
        <f t="shared" ca="1" si="10"/>
        <v>28.46908902184644</v>
      </c>
      <c r="AG28" s="1">
        <f>(1-$AG$27)*S28/SUM($S$23:$S$26,$S$28)</f>
        <v>0.11000000000000001</v>
      </c>
    </row>
    <row r="29" spans="1:34" x14ac:dyDescent="0.4">
      <c r="A29" s="18"/>
      <c r="B29" s="18"/>
      <c r="C29" s="1" t="s">
        <v>87</v>
      </c>
      <c r="D29" s="1">
        <f>RADIANS(-15)</f>
        <v>-0.26179938779914941</v>
      </c>
      <c r="E29" s="2" t="s">
        <v>69</v>
      </c>
      <c r="F29" s="1"/>
      <c r="H29" s="3"/>
    </row>
    <row r="30" spans="1:34" x14ac:dyDescent="0.4">
      <c r="A30" s="18"/>
      <c r="B30" s="18"/>
      <c r="C30" s="1" t="s">
        <v>88</v>
      </c>
      <c r="D30" s="1">
        <f>RADIANS(30)</f>
        <v>0.52359877559829882</v>
      </c>
      <c r="E30" s="2" t="s">
        <v>69</v>
      </c>
      <c r="F30" s="1"/>
      <c r="AC30" s="23" t="str">
        <f ca="1">_xlfn.TEXTJOIN(", ",TRUE,AC23:AC28)</f>
        <v>24.0055450299155, 24.0055450299155, 24.0055450299155, 24.0055450299155, 59.0808817629878, 24.0055450299155</v>
      </c>
      <c r="AF30" s="23" t="str">
        <f ca="1">_xlfn.TEXTJOIN(", ",TRUE,AF23:AF28)</f>
        <v>88.5579779107354, 90.7456870300749, 86.6431887712093, 88.5579779107354, 254.759474502168, 28.4690890218464</v>
      </c>
    </row>
    <row r="31" spans="1:34" x14ac:dyDescent="0.4">
      <c r="A31" s="18"/>
      <c r="B31" s="18"/>
      <c r="C31" s="1" t="s">
        <v>89</v>
      </c>
      <c r="D31" s="1">
        <f>D26*SIN(D30)+D27</f>
        <v>550</v>
      </c>
      <c r="E31" s="2" t="s">
        <v>71</v>
      </c>
      <c r="F31" s="1"/>
      <c r="H31" s="3"/>
    </row>
    <row r="32" spans="1:34" x14ac:dyDescent="0.4">
      <c r="A32" s="18"/>
      <c r="B32" s="18"/>
      <c r="C32" s="1" t="s">
        <v>90</v>
      </c>
      <c r="D32" s="1">
        <v>0.1</v>
      </c>
      <c r="E32" s="2" t="s">
        <v>70</v>
      </c>
      <c r="F32" s="1"/>
      <c r="H32" s="3"/>
    </row>
    <row r="33" spans="1:6" x14ac:dyDescent="0.4">
      <c r="A33" s="18"/>
      <c r="B33" s="18"/>
      <c r="C33" s="1" t="s">
        <v>91</v>
      </c>
      <c r="D33" s="1">
        <f>D31*D32</f>
        <v>55</v>
      </c>
      <c r="E33" s="2" t="s">
        <v>71</v>
      </c>
      <c r="F33" s="1"/>
    </row>
    <row r="34" spans="1:6" x14ac:dyDescent="0.4">
      <c r="A34" s="18"/>
      <c r="B34" s="16" t="s">
        <v>92</v>
      </c>
      <c r="C34" s="1" t="s">
        <v>93</v>
      </c>
      <c r="D34" s="1">
        <v>0</v>
      </c>
      <c r="E34" s="2" t="s">
        <v>94</v>
      </c>
      <c r="F34" s="1" t="s">
        <v>95</v>
      </c>
    </row>
    <row r="35" spans="1:6" x14ac:dyDescent="0.4">
      <c r="A35" s="18"/>
      <c r="B35" s="18"/>
      <c r="C35" s="1" t="s">
        <v>96</v>
      </c>
      <c r="D35" s="1">
        <f>SUMPRODUCT($Z$23:$Z$28,$S$23:$S$28)+$D$24*$D$34</f>
        <v>13.622287988441997</v>
      </c>
      <c r="E35" s="2" t="s">
        <v>97</v>
      </c>
      <c r="F35" s="1"/>
    </row>
    <row r="36" spans="1:6" x14ac:dyDescent="0.4">
      <c r="A36" s="18"/>
      <c r="B36" s="18"/>
      <c r="C36" s="1" t="s">
        <v>98</v>
      </c>
      <c r="D36" s="1">
        <v>0</v>
      </c>
      <c r="E36" s="2" t="s">
        <v>99</v>
      </c>
      <c r="F36" s="1"/>
    </row>
    <row r="37" spans="1:6" x14ac:dyDescent="0.4">
      <c r="A37" s="18"/>
      <c r="B37" s="18"/>
      <c r="C37" s="1" t="s">
        <v>57</v>
      </c>
      <c r="D37" s="1">
        <f>SUMPRODUCT(Q23:Q28,S23:S28)</f>
        <v>637.73339514677036</v>
      </c>
      <c r="E37" s="2" t="s">
        <v>99</v>
      </c>
      <c r="F37" s="1"/>
    </row>
    <row r="38" spans="1:6" x14ac:dyDescent="0.4">
      <c r="A38" s="18"/>
      <c r="B38" s="18"/>
      <c r="C38" s="1" t="s">
        <v>100</v>
      </c>
      <c r="D38" s="1">
        <v>0.5</v>
      </c>
      <c r="E38" s="2" t="s">
        <v>70</v>
      </c>
      <c r="F38" s="1"/>
    </row>
    <row r="39" spans="1:6" x14ac:dyDescent="0.4">
      <c r="A39" s="18"/>
      <c r="B39" s="16" t="s">
        <v>101</v>
      </c>
      <c r="C39" s="1" t="s">
        <v>102</v>
      </c>
      <c r="D39" s="1">
        <v>0.74145558992247895</v>
      </c>
      <c r="E39" s="2" t="s">
        <v>70</v>
      </c>
      <c r="F39" s="1"/>
    </row>
    <row r="40" spans="1:6" x14ac:dyDescent="0.4">
      <c r="A40" s="18"/>
      <c r="B40" s="18"/>
      <c r="C40" s="1" t="s">
        <v>103</v>
      </c>
      <c r="D40" s="1">
        <v>0.256263440037929</v>
      </c>
      <c r="E40" s="2" t="s">
        <v>70</v>
      </c>
      <c r="F40" s="1"/>
    </row>
    <row r="41" spans="1:6" x14ac:dyDescent="0.4">
      <c r="A41" s="18"/>
      <c r="B41" s="18"/>
      <c r="C41" s="1" t="s">
        <v>104</v>
      </c>
      <c r="D41" s="1">
        <v>0.64061842132506297</v>
      </c>
      <c r="E41" s="2" t="s">
        <v>70</v>
      </c>
      <c r="F41" s="1"/>
    </row>
    <row r="42" spans="1:6" x14ac:dyDescent="0.4">
      <c r="A42" s="18"/>
      <c r="B42" s="18"/>
      <c r="C42" s="1" t="s">
        <v>105</v>
      </c>
      <c r="D42" s="22">
        <v>3.2665154409436598E-2</v>
      </c>
      <c r="E42" s="2" t="s">
        <v>70</v>
      </c>
      <c r="F42" s="1" t="s">
        <v>106</v>
      </c>
    </row>
    <row r="43" spans="1:6" x14ac:dyDescent="0.4">
      <c r="A43" s="18"/>
      <c r="B43" s="18"/>
      <c r="C43" s="1" t="s">
        <v>107</v>
      </c>
      <c r="D43" s="22">
        <v>9.5760917381883706E-2</v>
      </c>
      <c r="E43" s="2"/>
      <c r="F43" s="1" t="s">
        <v>106</v>
      </c>
    </row>
    <row r="44" spans="1:6" x14ac:dyDescent="0.4">
      <c r="A44" s="18"/>
      <c r="B44" s="18"/>
      <c r="C44" s="1" t="s">
        <v>108</v>
      </c>
      <c r="D44" s="22">
        <v>4.5922679675081901E-2</v>
      </c>
      <c r="E44" s="2" t="s">
        <v>70</v>
      </c>
      <c r="F44" s="1" t="s">
        <v>106</v>
      </c>
    </row>
    <row r="45" spans="1:6" x14ac:dyDescent="0.4">
      <c r="A45" s="18"/>
      <c r="B45" s="18"/>
      <c r="C45" s="1"/>
      <c r="D45" s="1"/>
      <c r="E45" s="2"/>
      <c r="F45" s="1"/>
    </row>
    <row r="46" spans="1:6" x14ac:dyDescent="0.4">
      <c r="A46" s="17"/>
      <c r="B46" s="17"/>
      <c r="C46" s="1"/>
      <c r="D46" s="1"/>
      <c r="E46" s="2"/>
      <c r="F46" s="1"/>
    </row>
    <row r="47" spans="1:6" x14ac:dyDescent="0.4">
      <c r="A47" s="25" t="s">
        <v>109</v>
      </c>
      <c r="B47" s="28" t="s">
        <v>110</v>
      </c>
      <c r="C47" s="1" t="s">
        <v>111</v>
      </c>
      <c r="D47" s="1">
        <f ca="1">SUM($AD$23:$AD$28)</f>
        <v>318.86669757338473</v>
      </c>
      <c r="E47" s="2" t="s">
        <v>99</v>
      </c>
      <c r="F47" s="1"/>
    </row>
    <row r="48" spans="1:6" x14ac:dyDescent="0.4">
      <c r="A48" s="26"/>
      <c r="B48" s="26"/>
      <c r="C48" s="1" t="s">
        <v>112</v>
      </c>
      <c r="D48" s="1">
        <f ca="1">$D$24*$D$34*($D$50-$D$25)</f>
        <v>0</v>
      </c>
      <c r="E48" s="2" t="s">
        <v>99</v>
      </c>
      <c r="F48" s="1"/>
    </row>
    <row r="49" spans="1:6" x14ac:dyDescent="0.4">
      <c r="A49" s="26"/>
      <c r="B49" s="27"/>
      <c r="C49" s="1" t="s">
        <v>113</v>
      </c>
      <c r="D49" s="1">
        <f ca="1">SUM($D$47:$D$48)</f>
        <v>318.86669757338473</v>
      </c>
      <c r="E49" s="2" t="s">
        <v>99</v>
      </c>
      <c r="F49" s="1"/>
    </row>
    <row r="50" spans="1:6" x14ac:dyDescent="0.4">
      <c r="A50" s="26"/>
      <c r="B50" s="25" t="s">
        <v>114</v>
      </c>
      <c r="C50" s="1" t="s">
        <v>115</v>
      </c>
      <c r="D50" s="5">
        <f ca="1">$D$50+($D$36-$D$49-D55)/$D$35</f>
        <v>35.634631578240345</v>
      </c>
      <c r="E50" s="2" t="s">
        <v>0</v>
      </c>
      <c r="F50" s="1"/>
    </row>
    <row r="51" spans="1:6" x14ac:dyDescent="0.4">
      <c r="A51" s="27"/>
      <c r="B51" s="27"/>
      <c r="C51" s="1" t="s">
        <v>116</v>
      </c>
      <c r="D51" s="1">
        <f ca="1">SUMPRODUCT($U$23:$U$28,$S$23:$S$28,$AB$23:$AB$28)/SUMPRODUCT($U$23:$U$28,$S$23:$S$28)</f>
        <v>18.159655574403423</v>
      </c>
      <c r="E51" s="2" t="s">
        <v>0</v>
      </c>
      <c r="F51" s="1"/>
    </row>
    <row r="52" spans="1:6" x14ac:dyDescent="0.4">
      <c r="A52" s="19" t="s">
        <v>117</v>
      </c>
      <c r="B52" s="1" t="s">
        <v>118</v>
      </c>
      <c r="C52" s="1"/>
      <c r="D52" s="1">
        <v>2.7719999999999998</v>
      </c>
      <c r="E52" s="2" t="s">
        <v>97</v>
      </c>
      <c r="F52" s="1"/>
    </row>
    <row r="53" spans="1:6" x14ac:dyDescent="0.4">
      <c r="A53" s="20"/>
      <c r="B53" s="1" t="s">
        <v>119</v>
      </c>
      <c r="C53" s="1"/>
      <c r="D53" s="1">
        <v>12600</v>
      </c>
      <c r="E53" s="2" t="s">
        <v>120</v>
      </c>
      <c r="F53" s="1"/>
    </row>
    <row r="54" spans="1:6" x14ac:dyDescent="0.4">
      <c r="A54" s="20"/>
      <c r="B54" s="1" t="s">
        <v>114</v>
      </c>
      <c r="C54" s="1"/>
      <c r="D54" s="1">
        <f ca="1">D50+D37*(1-D38)/D52</f>
        <v>150.66590775911524</v>
      </c>
      <c r="E54" s="1" t="s">
        <v>0</v>
      </c>
      <c r="F54" s="1"/>
    </row>
    <row r="55" spans="1:6" x14ac:dyDescent="0.4">
      <c r="A55" s="21"/>
      <c r="B55" s="1" t="s">
        <v>121</v>
      </c>
      <c r="C55" s="1"/>
      <c r="D55" s="1">
        <f ca="1">D52*(D50-D54)</f>
        <v>-318.86669757338518</v>
      </c>
      <c r="E55" s="2" t="s">
        <v>99</v>
      </c>
      <c r="F55" s="1"/>
    </row>
  </sheetData>
  <mergeCells count="6">
    <mergeCell ref="A21:C21"/>
    <mergeCell ref="A22:A24"/>
    <mergeCell ref="B22:B24"/>
    <mergeCell ref="A47:A51"/>
    <mergeCell ref="B47:B49"/>
    <mergeCell ref="B50:B51"/>
  </mergeCells>
  <phoneticPr fontId="1"/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熱伝達率</vt:lpstr>
      <vt:lpstr>正解値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serikawa</dc:creator>
  <cp:lastModifiedBy>Makoto Satoh</cp:lastModifiedBy>
  <dcterms:created xsi:type="dcterms:W3CDTF">2020-08-24T06:41:34Z</dcterms:created>
  <dcterms:modified xsi:type="dcterms:W3CDTF">2025-12-03T09:15:20Z</dcterms:modified>
</cp:coreProperties>
</file>