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satohercom-my.sharepoint.com/personal/satoh_satoh-er_com/Documents/users/sourcetree/heat_load_calc/test/test_steady_multizone/strady01/"/>
    </mc:Choice>
  </mc:AlternateContent>
  <xr:revisionPtr revIDLastSave="63" documentId="13_ncr:1_{D95669B3-395F-4B70-A1FA-71535848FF4D}" xr6:coauthVersionLast="47" xr6:coauthVersionMax="47" xr10:uidLastSave="{537605E7-5D17-4DF6-A41C-D395BE464368}"/>
  <bookViews>
    <workbookView xWindow="-105" yWindow="0" windowWidth="14610" windowHeight="15585" activeTab="1" xr2:uid="{45A1B7A6-7409-41F9-BB10-4729754C71E5}"/>
  </bookViews>
  <sheets>
    <sheet name="熱伝達率" sheetId="2" r:id="rId1"/>
    <sheet name="正解値" sheetId="1" r:id="rId2"/>
  </sheets>
  <calcPr calcId="191029" iterate="1" iterateCount="30000" iterateDelta="9.9999999999999998E-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0" i="1" l="1"/>
  <c r="T41" i="1"/>
  <c r="T42" i="1"/>
  <c r="T43" i="1"/>
  <c r="T44" i="1"/>
  <c r="T45" i="1"/>
  <c r="T33" i="1"/>
  <c r="T34" i="1"/>
  <c r="T35" i="1"/>
  <c r="T36" i="1"/>
  <c r="T38" i="1"/>
  <c r="T39" i="1"/>
  <c r="K46" i="1"/>
  <c r="K39" i="1"/>
  <c r="K44" i="1"/>
  <c r="M44" i="1" s="1"/>
  <c r="K43" i="1"/>
  <c r="K42" i="1"/>
  <c r="M42" i="1" s="1"/>
  <c r="K41" i="1"/>
  <c r="K40" i="1"/>
  <c r="K33" i="1"/>
  <c r="K34" i="1"/>
  <c r="K35" i="1"/>
  <c r="K36" i="1"/>
  <c r="K37" i="1"/>
  <c r="B3" i="2"/>
  <c r="B10" i="2" s="1"/>
  <c r="B4" i="2"/>
  <c r="B5" i="2"/>
  <c r="B6" i="2"/>
  <c r="B7" i="2"/>
  <c r="B8" i="2"/>
  <c r="B9" i="2"/>
  <c r="M33" i="1"/>
  <c r="M34" i="1"/>
  <c r="M35" i="1"/>
  <c r="M36" i="1"/>
  <c r="M37" i="1"/>
  <c r="M40" i="1"/>
  <c r="M41" i="1"/>
  <c r="M43" i="1"/>
  <c r="C33" i="1"/>
  <c r="C34" i="1"/>
  <c r="C35" i="1"/>
  <c r="C38" i="1"/>
  <c r="K38" i="1"/>
  <c r="M38" i="1" s="1"/>
  <c r="C36" i="1"/>
  <c r="C37" i="1"/>
  <c r="C40" i="1"/>
  <c r="C41" i="1"/>
  <c r="C42" i="1"/>
  <c r="C45" i="1"/>
  <c r="K45" i="1"/>
  <c r="M45" i="1" s="1"/>
  <c r="C43" i="1"/>
  <c r="C44" i="1"/>
  <c r="E20" i="1" l="1"/>
  <c r="E9" i="2"/>
  <c r="A4" i="2" l="1"/>
  <c r="A5" i="2"/>
  <c r="A3" i="2"/>
  <c r="E4" i="2"/>
  <c r="E5" i="2"/>
  <c r="E8" i="2"/>
  <c r="E6" i="2"/>
  <c r="E7" i="2"/>
  <c r="E3" i="2"/>
  <c r="C9" i="2" l="1"/>
  <c r="D9" i="2" s="1"/>
  <c r="F9" i="2" s="1"/>
  <c r="G46" i="1" l="1"/>
  <c r="I46" i="1" s="1"/>
  <c r="G39" i="1"/>
  <c r="I39" i="1" s="1"/>
  <c r="C5" i="2"/>
  <c r="D5" i="2" s="1"/>
  <c r="F5" i="2" s="1"/>
  <c r="C8" i="2"/>
  <c r="D8" i="2" s="1"/>
  <c r="F8" i="2" s="1"/>
  <c r="C7" i="2"/>
  <c r="D7" i="2" s="1"/>
  <c r="F7" i="2" s="1"/>
  <c r="C4" i="2"/>
  <c r="D4" i="2" s="1"/>
  <c r="F4" i="2" s="1"/>
  <c r="C6" i="2"/>
  <c r="D6" i="2" s="1"/>
  <c r="F6" i="2" s="1"/>
  <c r="C3" i="2"/>
  <c r="D3" i="2" s="1"/>
  <c r="D10" i="2" l="1"/>
  <c r="G34" i="1"/>
  <c r="I34" i="1" s="1"/>
  <c r="L34" i="1" s="1"/>
  <c r="G41" i="1"/>
  <c r="I41" i="1" s="1"/>
  <c r="L41" i="1" s="1"/>
  <c r="G37" i="1"/>
  <c r="I37" i="1" s="1"/>
  <c r="L37" i="1" s="1"/>
  <c r="G44" i="1"/>
  <c r="I44" i="1" s="1"/>
  <c r="L44" i="1" s="1"/>
  <c r="G45" i="1"/>
  <c r="I45" i="1" s="1"/>
  <c r="L45" i="1" s="1"/>
  <c r="G38" i="1"/>
  <c r="I38" i="1" s="1"/>
  <c r="L38" i="1" s="1"/>
  <c r="G35" i="1"/>
  <c r="I35" i="1" s="1"/>
  <c r="L35" i="1" s="1"/>
  <c r="G42" i="1"/>
  <c r="I42" i="1" s="1"/>
  <c r="L42" i="1" s="1"/>
  <c r="G36" i="1"/>
  <c r="I36" i="1" s="1"/>
  <c r="L36" i="1" s="1"/>
  <c r="G43" i="1"/>
  <c r="I43" i="1" s="1"/>
  <c r="L43" i="1" s="1"/>
  <c r="J46" i="1"/>
  <c r="J39" i="1"/>
  <c r="F3" i="2"/>
  <c r="L39" i="1" l="1"/>
  <c r="M39" i="1"/>
  <c r="L46" i="1"/>
  <c r="M46" i="1"/>
  <c r="G33" i="1"/>
  <c r="I33" i="1" s="1"/>
  <c r="L33" i="1" s="1"/>
  <c r="G40" i="1"/>
  <c r="I40" i="1" s="1"/>
  <c r="L40" i="1" s="1"/>
  <c r="I21" i="1" l="1"/>
  <c r="E22" i="1"/>
  <c r="E23" i="1"/>
  <c r="E24" i="1"/>
  <c r="I24" i="1"/>
  <c r="E26" i="1"/>
  <c r="I26" i="1"/>
  <c r="E27" i="1"/>
  <c r="E28" i="1"/>
  <c r="N33" i="1"/>
  <c r="O33" i="1"/>
  <c r="P33" i="1"/>
  <c r="Q33" i="1"/>
  <c r="R33" i="1"/>
  <c r="S33" i="1"/>
  <c r="U33" i="1"/>
  <c r="N34" i="1"/>
  <c r="O34" i="1"/>
  <c r="P34" i="1"/>
  <c r="Q34" i="1"/>
  <c r="R34" i="1"/>
  <c r="S34" i="1"/>
  <c r="N35" i="1"/>
  <c r="O35" i="1"/>
  <c r="P35" i="1"/>
  <c r="Q35" i="1"/>
  <c r="R35" i="1"/>
  <c r="S35" i="1"/>
  <c r="N36" i="1"/>
  <c r="O36" i="1"/>
  <c r="P36" i="1"/>
  <c r="Q36" i="1"/>
  <c r="R36" i="1"/>
  <c r="S36" i="1"/>
  <c r="N37" i="1"/>
  <c r="O37" i="1"/>
  <c r="P37" i="1"/>
  <c r="Q37" i="1"/>
  <c r="R37" i="1"/>
  <c r="S37" i="1"/>
  <c r="N38" i="1"/>
  <c r="O38" i="1"/>
  <c r="P38" i="1"/>
  <c r="Q38" i="1"/>
  <c r="R38" i="1"/>
  <c r="S38" i="1"/>
  <c r="C39" i="1"/>
  <c r="N39" i="1"/>
  <c r="O39" i="1"/>
  <c r="P39" i="1"/>
  <c r="Q39" i="1"/>
  <c r="R39" i="1"/>
  <c r="S39" i="1"/>
  <c r="N40" i="1"/>
  <c r="O40" i="1"/>
  <c r="P40" i="1"/>
  <c r="Q40" i="1"/>
  <c r="R40" i="1"/>
  <c r="S40" i="1"/>
  <c r="U40" i="1"/>
  <c r="N41" i="1"/>
  <c r="O41" i="1"/>
  <c r="P41" i="1"/>
  <c r="Q41" i="1"/>
  <c r="R41" i="1"/>
  <c r="S41" i="1"/>
  <c r="N42" i="1"/>
  <c r="O42" i="1"/>
  <c r="P42" i="1"/>
  <c r="Q42" i="1"/>
  <c r="R42" i="1"/>
  <c r="S42" i="1"/>
  <c r="N43" i="1"/>
  <c r="O43" i="1"/>
  <c r="P43" i="1"/>
  <c r="Q43" i="1"/>
  <c r="R43" i="1"/>
  <c r="S43" i="1"/>
  <c r="N44" i="1"/>
  <c r="O44" i="1"/>
  <c r="P44" i="1"/>
  <c r="Q44" i="1"/>
  <c r="R44" i="1"/>
  <c r="S44" i="1"/>
  <c r="N45" i="1"/>
  <c r="O45" i="1"/>
  <c r="P45" i="1"/>
  <c r="Q45" i="1"/>
  <c r="R45" i="1"/>
  <c r="S45" i="1"/>
  <c r="C46" i="1"/>
  <c r="N46" i="1"/>
  <c r="O46" i="1"/>
  <c r="P46" i="1"/>
  <c r="Q46" i="1"/>
  <c r="R46" i="1"/>
  <c r="S46" i="1"/>
  <c r="O48" i="1"/>
  <c r="S48" i="1"/>
</calcChain>
</file>

<file path=xl/sharedStrings.xml><?xml version="1.0" encoding="utf-8"?>
<sst xmlns="http://schemas.openxmlformats.org/spreadsheetml/2006/main" count="114" uniqueCount="83">
  <si>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</si>
  <si>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</si>
  <si>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</si>
  <si>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</si>
  <si>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</si>
  <si>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</si>
  <si>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</si>
  <si>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</si>
  <si>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</si>
  <si>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</si>
  <si>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</si>
  <si>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</si>
  <si>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</si>
  <si>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</si>
  <si>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</si>
  <si>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</si>
  <si>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</si>
  <si>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</si>
  <si>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</si>
  <si>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</si>
  <si>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</si>
  <si>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</si>
  <si>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</si>
  <si>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</si>
  <si>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</si>
  <si>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</si>
  <si>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</si>
  <si>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</si>
  <si>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</si>
  <si>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</si>
  <si>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</si>
  <si>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</si>
  <si>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</si>
  <si>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</si>
  <si>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</si>
  <si>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</si>
  <si>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</si>
  <si>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</si>
  <si>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</si>
  <si>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</si>
  <si>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</si>
  <si>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</si>
  <si>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</si>
  <si>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</si>
  <si>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</si>
  <si>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</si>
  <si>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</si>
  <si>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</si>
  <si>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</si>
  <si>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</si>
  <si>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</si>
  <si>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</si>
  <si>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</si>
  <si>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</si>
  <si>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</si>
  <si>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</si>
  <si>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</si>
  <si>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</si>
  <si>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</si>
  <si>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</si>
  <si>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</si>
  <si>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</si>
  <si>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</si>
  <si>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</si>
  <si>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窓</t>
  </si>
  <si>
    <t>熱貫流率</t>
  </si>
  <si>
    <t>等価室温</t>
  </si>
  <si>
    <t>2室合計</t>
    <rPh sb="1" eb="2">
      <t>シツ</t>
    </rPh>
    <rPh sb="2" eb="4">
      <t>ゴウケイ</t>
    </rPh>
    <phoneticPr fontId="3"/>
  </si>
  <si>
    <t>簡単な室温計算</t>
    <rPh sb="0" eb="2">
      <t>カンタン</t>
    </rPh>
    <rPh sb="3" eb="5">
      <t>シツオン</t>
    </rPh>
    <rPh sb="5" eb="7">
      <t>ケイサン</t>
    </rPh>
    <phoneticPr fontId="3"/>
  </si>
  <si>
    <t>床</t>
    <phoneticPr fontId="3"/>
  </si>
  <si>
    <t>屋根</t>
    <rPh sb="0" eb="2">
      <t>ヤネ</t>
    </rPh>
    <phoneticPr fontId="3"/>
  </si>
  <si>
    <t>熱貫流率（対流のみ）</t>
    <rPh sb="0" eb="4">
      <t>ネツカンリュウリツ</t>
    </rPh>
    <rPh sb="5" eb="7">
      <t>タイリュウ</t>
    </rPh>
    <phoneticPr fontId="3"/>
  </si>
  <si>
    <t>1F</t>
    <phoneticPr fontId="3"/>
  </si>
  <si>
    <t>2F</t>
    <phoneticPr fontId="3"/>
  </si>
  <si>
    <t>南壁</t>
    <rPh sb="0" eb="1">
      <t>ミナミ</t>
    </rPh>
    <phoneticPr fontId="3"/>
  </si>
  <si>
    <t>西壁</t>
    <rPh sb="0" eb="1">
      <t>ニシ</t>
    </rPh>
    <rPh sb="1" eb="2">
      <t>カベ</t>
    </rPh>
    <phoneticPr fontId="3"/>
  </si>
  <si>
    <t>東壁</t>
    <rPh sb="0" eb="1">
      <t>ヒガシ</t>
    </rPh>
    <rPh sb="1" eb="2">
      <t>カベ</t>
    </rPh>
    <phoneticPr fontId="3"/>
  </si>
  <si>
    <t>北壁</t>
    <rPh sb="0" eb="1">
      <t>キタ</t>
    </rPh>
    <rPh sb="1" eb="2">
      <t>カベ</t>
    </rPh>
    <phoneticPr fontId="3"/>
  </si>
  <si>
    <t>室温</t>
    <rPh sb="0" eb="2">
      <t>シツオン</t>
    </rPh>
    <phoneticPr fontId="3"/>
  </si>
  <si>
    <t>1F_room</t>
    <phoneticPr fontId="3"/>
  </si>
  <si>
    <t>2F_room</t>
    <phoneticPr fontId="3"/>
  </si>
  <si>
    <t>theta_mrt_hum</t>
    <phoneticPr fontId="3"/>
  </si>
  <si>
    <t>天井</t>
    <rPh sb="0" eb="2">
      <t>テンジョウ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</si>
</sst>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1"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6">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alignment vertical="center"/>
    </xf>
    <xf numFmtId="0" fontId="4" fillId="0" borderId="0">
      <alignment vertical="center"/>
    </xf>
  </cellStyleXfs>
  <cellXfs count="41">
    <xf numFmtId="0" fontId="0" fillId="0" borderId="0" xfId="0">
      <alignment vertical="center"/>
    </xf>
    <xf numFmtId="0" fontId="0" fillId="0" borderId="1" xfId="0" applyBorder="1">
      <alignment vertical="center"/>
    </xf>
    <xf numFmtId="0" fontId="0" fillId="0" borderId="1" xfId="0"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181" fontId="0" fillId="0" borderId="0" xfId="0" applyNumberForma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4" borderId="0" xfId="0" applyFill="1">
      <alignment vertical="center"/>
    </xf>
    <xf numFmtId="0" fontId="0" fillId="5" borderId="0" xfId="0" applyFill="1">
      <alignment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D10" sqref="D10"/>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1.1838506051324291</v>
      </c>
    </row>
    <row r="3" spans="1:8" x14ac:dyDescent="0.4">
      <c r="A3" s="6" t="str">
        <f>正解値!$B33</f>
        <v>南壁</v>
      </c>
      <c r="B3" s="10">
        <f>正解値!E33</f>
        <v>0.5</v>
      </c>
      <c r="C3" s="11">
        <f t="shared" ref="C3:C8" si="0">B3/$B$10</f>
        <v>8.3333333333333329E-2</v>
      </c>
      <c r="D3" s="12">
        <f t="shared" ref="D3:D7" si="1">0.5*(1-SIGN(1-4*C3/$H$2)*SQRT(ABS(1-4*C3/$H$2)))</f>
        <v>7.6197882003700312E-2</v>
      </c>
      <c r="E3" s="6">
        <f>正解値!$F33</f>
        <v>0.9</v>
      </c>
      <c r="F3" s="12">
        <f t="shared" ref="F3:F7" si="2">E3/(1-E3*D3)*4*0.0000000567*($H$3+273.15)^3</f>
        <v>5.5208863527334868</v>
      </c>
      <c r="G3" s="6" t="s">
        <v>11</v>
      </c>
      <c r="H3" s="6">
        <v>20</v>
      </c>
    </row>
    <row r="4" spans="1:8" x14ac:dyDescent="0.4">
      <c r="A4" s="6" t="str">
        <f>正解値!$B34</f>
        <v>西壁</v>
      </c>
      <c r="B4" s="10">
        <f>正解値!E34</f>
        <v>1</v>
      </c>
      <c r="C4" s="11">
        <f t="shared" si="0"/>
        <v>0.16666666666666666</v>
      </c>
      <c r="D4" s="12">
        <f t="shared" si="1"/>
        <v>0.16952084719864852</v>
      </c>
      <c r="E4" s="6">
        <f>正解値!$F34</f>
        <v>0.9</v>
      </c>
      <c r="F4" s="12">
        <f t="shared" si="2"/>
        <v>6.0680728569785138</v>
      </c>
    </row>
    <row r="5" spans="1:8" x14ac:dyDescent="0.4">
      <c r="A5" s="6" t="str">
        <f>正解値!$B35</f>
        <v>東壁</v>
      </c>
      <c r="B5" s="10">
        <f>正解値!E35</f>
        <v>1</v>
      </c>
      <c r="C5" s="11">
        <f t="shared" si="0"/>
        <v>0.16666666666666666</v>
      </c>
      <c r="D5" s="12">
        <f t="shared" si="1"/>
        <v>0.16952084719864852</v>
      </c>
      <c r="E5" s="6">
        <f>正解値!$F35</f>
        <v>0.9</v>
      </c>
      <c r="F5" s="12">
        <f t="shared" si="2"/>
        <v>6.0680728569785138</v>
      </c>
    </row>
    <row r="6" spans="1:8" x14ac:dyDescent="0.4">
      <c r="A6" s="24" t="s">
        <v>69</v>
      </c>
      <c r="B6" s="10">
        <f>正解値!E36</f>
        <v>1</v>
      </c>
      <c r="C6" s="11">
        <f t="shared" si="0"/>
        <v>0.16666666666666666</v>
      </c>
      <c r="D6" s="12">
        <f t="shared" si="1"/>
        <v>0.16952084719864852</v>
      </c>
      <c r="E6" s="6">
        <f>正解値!$F39</f>
        <v>0.9</v>
      </c>
      <c r="F6" s="12">
        <f t="shared" si="2"/>
        <v>6.0680728569785138</v>
      </c>
    </row>
    <row r="7" spans="1:8" x14ac:dyDescent="0.4">
      <c r="A7" s="24" t="s">
        <v>70</v>
      </c>
      <c r="B7" s="10">
        <f>正解値!E37</f>
        <v>1</v>
      </c>
      <c r="C7" s="11">
        <f t="shared" si="0"/>
        <v>0.16666666666666666</v>
      </c>
      <c r="D7" s="12">
        <f t="shared" si="1"/>
        <v>0.16952084719864852</v>
      </c>
      <c r="E7" s="6">
        <f>正解値!$F36</f>
        <v>0.9</v>
      </c>
      <c r="F7" s="12">
        <f t="shared" si="2"/>
        <v>6.0680728569785138</v>
      </c>
    </row>
    <row r="8" spans="1:8" x14ac:dyDescent="0.4">
      <c r="A8" s="15" t="s">
        <v>13</v>
      </c>
      <c r="B8" s="10">
        <f>正解値!E38</f>
        <v>0.5</v>
      </c>
      <c r="C8" s="11">
        <f t="shared" si="0"/>
        <v>8.3333333333333329E-2</v>
      </c>
      <c r="D8" s="12">
        <f>0.5*(1-SIGN(1-4*C8/$H$2)*SQRT(ABS(1-4*C8/$H$2)))</f>
        <v>7.6197882003700312E-2</v>
      </c>
      <c r="E8" s="6">
        <f>正解値!$F38</f>
        <v>0.9</v>
      </c>
      <c r="F8" s="12">
        <f>E8/(1-E8*D8)*4*0.0000000567*($H$3+273.15)^3</f>
        <v>5.5208863527334868</v>
      </c>
    </row>
    <row r="9" spans="1:8" x14ac:dyDescent="0.4">
      <c r="A9" s="15" t="s">
        <v>14</v>
      </c>
      <c r="B9" s="10">
        <f>正解値!E39</f>
        <v>1</v>
      </c>
      <c r="C9" s="11">
        <f t="shared" ref="C9" si="3">B9/$B$10</f>
        <v>0.16666666666666666</v>
      </c>
      <c r="D9" s="12">
        <f t="shared" ref="D9" si="4">0.5*(1-SIGN(1-4*C9/$H$2)*SQRT(ABS(1-4*C9/$H$2)))</f>
        <v>0.16952084719864852</v>
      </c>
      <c r="E9" s="6">
        <f>正解値!$F39</f>
        <v>0.9</v>
      </c>
      <c r="F9" s="12">
        <f t="shared" ref="F9" si="5">E9/(1-E9*D9)*4*0.0000000567*($H$3+273.15)^3</f>
        <v>6.0680728569785138</v>
      </c>
    </row>
    <row r="10" spans="1:8" x14ac:dyDescent="0.4">
      <c r="A10" s="6" t="s">
        <v>12</v>
      </c>
      <c r="B10" s="10">
        <f>SUM(B3:B9)</f>
        <v>6</v>
      </c>
      <c r="C10" s="6"/>
      <c r="D10" s="13">
        <f>SUM(D3:D9)</f>
        <v>1.0000000000006433</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U64"/>
  <sheetViews>
    <sheetView showGridLines="0" tabSelected="1" zoomScale="90" zoomScaleNormal="90" workbookViewId="0">
      <pane xSplit="2" topLeftCell="C1" activePane="topRight" state="frozen"/>
      <selection pane="topRight" activeCell="I26" sqref="I26"/>
    </sheetView>
  </sheetViews>
  <sheetFormatPr defaultRowHeight="18.75" x14ac:dyDescent="0.4"/>
  <cols>
    <col min="2" max="2" width="9" bestFit="1" customWidth="1"/>
    <col min="3" max="3" width="13" bestFit="1" customWidth="1"/>
    <col min="4" max="4" width="11" bestFit="1" customWidth="1"/>
    <col min="5" max="5" width="20" bestFit="1" customWidth="1"/>
    <col min="6" max="6" width="7.125" bestFit="1" customWidth="1"/>
    <col min="7" max="8" width="13" bestFit="1" customWidth="1"/>
    <col min="9" max="10" width="21.375" bestFit="1" customWidth="1"/>
    <col min="11" max="12" width="12.75" bestFit="1" customWidth="1"/>
    <col min="13" max="13" width="21.375" bestFit="1" customWidth="1"/>
    <col min="14" max="14" width="15.5" bestFit="1" customWidth="1"/>
    <col min="15" max="15" width="11.125" bestFit="1" customWidth="1"/>
    <col min="16"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21.375" bestFit="1" customWidth="1"/>
    <col min="24" max="24" width="25.5" bestFit="1" customWidth="1"/>
    <col min="25" max="25" width="14.125" customWidth="1"/>
  </cols>
  <sheetData>
    <row r="1" spans="1:1" x14ac:dyDescent="0.4">
      <c r="A1" t="s">
        <v>16</v>
      </c>
    </row>
    <row r="2" spans="1:1" x14ac:dyDescent="0.4">
      <c r="A2" t="s">
        <v>17</v>
      </c>
    </row>
    <row r="3" spans="1:1" x14ac:dyDescent="0.4">
      <c r="A3" t="s">
        <v>18</v>
      </c>
    </row>
    <row r="4" spans="1:1" x14ac:dyDescent="0.4">
      <c r="A4" t="s">
        <v>19</v>
      </c>
    </row>
    <row r="6" spans="1:1" x14ac:dyDescent="0.4">
      <c r="A6" t="s">
        <v>20</v>
      </c>
    </row>
    <row r="7" spans="1:1" x14ac:dyDescent="0.4">
      <c r="A7" t="s">
        <v>21</v>
      </c>
    </row>
    <row r="8" spans="1:1" x14ac:dyDescent="0.4">
      <c r="A8" t="s">
        <v>22</v>
      </c>
    </row>
    <row r="9" spans="1:1" x14ac:dyDescent="0.4">
      <c r="A9" t="s">
        <v>23</v>
      </c>
    </row>
    <row r="10" spans="1:1" x14ac:dyDescent="0.4">
      <c r="A10" t="s">
        <v>24</v>
      </c>
    </row>
    <row r="11" spans="1:1" x14ac:dyDescent="0.4">
      <c r="A11" t="s">
        <v>25</v>
      </c>
    </row>
    <row r="12" spans="1:1" x14ac:dyDescent="0.4">
      <c r="A12" t="s">
        <v>26</v>
      </c>
    </row>
    <row r="13" spans="1:1" x14ac:dyDescent="0.4">
      <c r="A13" t="s">
        <v>27</v>
      </c>
    </row>
    <row r="15" spans="1:1" x14ac:dyDescent="0.4">
      <c r="A15" t="s">
        <v>28</v>
      </c>
    </row>
    <row r="16" spans="1:1" x14ac:dyDescent="0.4">
      <c r="A16" t="s">
        <v>29</v>
      </c>
    </row>
    <row r="18" spans="1:21" x14ac:dyDescent="0.4">
      <c r="A18" s="35" t="s">
        <v>30</v>
      </c>
      <c r="B18" s="35"/>
      <c r="C18" s="35"/>
      <c r="D18" s="2"/>
      <c r="E18" s="2" t="s">
        <v>31</v>
      </c>
      <c r="F18" s="2" t="s">
        <v>32</v>
      </c>
      <c r="G18" s="2" t="s">
        <v>33</v>
      </c>
    </row>
    <row r="19" spans="1:21" x14ac:dyDescent="0.4">
      <c r="A19" s="2" t="s">
        <v>34</v>
      </c>
      <c r="B19" s="2" t="s">
        <v>35</v>
      </c>
      <c r="C19" s="1" t="s">
        <v>36</v>
      </c>
      <c r="D19" s="1"/>
      <c r="E19" s="1">
        <v>0</v>
      </c>
      <c r="F19" s="2" t="s">
        <v>0</v>
      </c>
      <c r="G19" s="1"/>
    </row>
    <row r="20" spans="1:21" x14ac:dyDescent="0.4">
      <c r="A20" s="2"/>
      <c r="B20" s="2" t="s">
        <v>37</v>
      </c>
      <c r="C20" s="1" t="s">
        <v>38</v>
      </c>
      <c r="D20" s="1"/>
      <c r="E20" s="1">
        <f>SUMPRODUCT(D33:D38,E33:E38,M33:M38)+SUMPRODUCT(D40:D45,E40:E45,M40:M45)</f>
        <v>4.7132418234930551</v>
      </c>
      <c r="F20" s="2" t="s">
        <v>39</v>
      </c>
      <c r="G20" s="1" t="s">
        <v>67</v>
      </c>
      <c r="I20" t="s">
        <v>68</v>
      </c>
    </row>
    <row r="21" spans="1:21" x14ac:dyDescent="0.4">
      <c r="A21" s="2"/>
      <c r="B21" s="36" t="s">
        <v>79</v>
      </c>
      <c r="C21" s="1" t="s">
        <v>40</v>
      </c>
      <c r="D21" s="1"/>
      <c r="E21" s="1">
        <v>100</v>
      </c>
      <c r="F21" s="2" t="s">
        <v>41</v>
      </c>
      <c r="G21" s="1"/>
      <c r="I21">
        <f>E19+E21/E20</f>
        <v>21.216819281699507</v>
      </c>
    </row>
    <row r="22" spans="1:21" x14ac:dyDescent="0.4">
      <c r="A22" s="35" t="s">
        <v>42</v>
      </c>
      <c r="B22" s="37"/>
      <c r="C22" s="1" t="s">
        <v>43</v>
      </c>
      <c r="D22" s="1"/>
      <c r="E22" s="1">
        <f ca="1">SUMPRODUCT(E33:E39,P33:P39)</f>
        <v>100.0000000026514</v>
      </c>
      <c r="F22" s="2" t="s">
        <v>41</v>
      </c>
      <c r="G22" s="1"/>
    </row>
    <row r="23" spans="1:21" x14ac:dyDescent="0.4">
      <c r="A23" s="35"/>
      <c r="B23" s="37"/>
      <c r="C23" s="1" t="s">
        <v>44</v>
      </c>
      <c r="D23" s="1"/>
      <c r="E23" s="4">
        <f ca="1">$E$23+($E$21-$E$22)/10000</f>
        <v>27.965498626465909</v>
      </c>
      <c r="F23" s="2" t="s">
        <v>0</v>
      </c>
      <c r="G23" s="1"/>
      <c r="I23" t="s">
        <v>78</v>
      </c>
    </row>
    <row r="24" spans="1:21" x14ac:dyDescent="0.4">
      <c r="A24" s="35"/>
      <c r="B24" s="38"/>
      <c r="C24" s="1" t="s">
        <v>45</v>
      </c>
      <c r="D24" s="1"/>
      <c r="E24" s="1">
        <f ca="1">SUMPRODUCT($G$33:$G$39,$E$33:$E$39,$N$33:$N$39)/SUMPRODUCT($G$33:$G$39,$E$33:$E$39)</f>
        <v>21.370749694141011</v>
      </c>
      <c r="F24" s="2" t="s">
        <v>0</v>
      </c>
      <c r="G24" s="1"/>
      <c r="I24" t="str">
        <f ca="1">_xlfn.TEXTJOIN(", ",TRUE,E23,E27)</f>
        <v>27.9654986264659, 19.7542025471314</v>
      </c>
    </row>
    <row r="25" spans="1:21" x14ac:dyDescent="0.4">
      <c r="A25" s="35"/>
      <c r="B25" s="36" t="s">
        <v>80</v>
      </c>
      <c r="C25" s="1" t="s">
        <v>40</v>
      </c>
      <c r="D25" s="1"/>
      <c r="E25" s="1">
        <v>50</v>
      </c>
      <c r="F25" s="2" t="s">
        <v>41</v>
      </c>
      <c r="G25" s="1"/>
      <c r="I25" t="s">
        <v>81</v>
      </c>
    </row>
    <row r="26" spans="1:21" x14ac:dyDescent="0.4">
      <c r="A26" s="35"/>
      <c r="B26" s="37"/>
      <c r="C26" s="1" t="s">
        <v>43</v>
      </c>
      <c r="D26" s="1"/>
      <c r="E26" s="1">
        <f ca="1">SUMPRODUCT(E40:E46,P40:P46)</f>
        <v>50.000000002651007</v>
      </c>
      <c r="F26" s="2" t="s">
        <v>41</v>
      </c>
      <c r="G26" s="1"/>
      <c r="I26" t="str">
        <f ca="1">_xlfn.TEXTJOIN(", ",TRUE,U33,U40)</f>
        <v>21.6703591329682, 17.3286299196947</v>
      </c>
    </row>
    <row r="27" spans="1:21" x14ac:dyDescent="0.4">
      <c r="A27" s="35"/>
      <c r="B27" s="37"/>
      <c r="C27" s="1" t="s">
        <v>44</v>
      </c>
      <c r="D27" s="1"/>
      <c r="E27" s="4">
        <f ca="1">$E$27+(E25-$E$26)/10000</f>
        <v>19.75420254713109</v>
      </c>
      <c r="F27" s="2" t="s">
        <v>0</v>
      </c>
      <c r="G27" s="1"/>
    </row>
    <row r="28" spans="1:21" x14ac:dyDescent="0.4">
      <c r="A28" s="35"/>
      <c r="B28" s="38"/>
      <c r="C28" s="1" t="s">
        <v>45</v>
      </c>
      <c r="D28" s="1"/>
      <c r="E28" s="1">
        <f ca="1">SUMPRODUCT($G$40:$G$46,$E$40:$E$46,$N$40:$N$46)/SUMPRODUCT($G$40:$G$46,$E$40:$E$46)</f>
        <v>16.482353743171387</v>
      </c>
      <c r="F28" s="2" t="s">
        <v>0</v>
      </c>
      <c r="G28" s="1"/>
    </row>
    <row r="31" spans="1:21" x14ac:dyDescent="0.4">
      <c r="A31" s="1"/>
      <c r="B31" s="1"/>
      <c r="C31" s="2" t="s">
        <v>46</v>
      </c>
      <c r="D31" s="2" t="s">
        <v>47</v>
      </c>
      <c r="E31" s="2" t="s">
        <v>48</v>
      </c>
      <c r="F31" s="2" t="s">
        <v>49</v>
      </c>
      <c r="G31" s="2" t="s">
        <v>50</v>
      </c>
      <c r="H31" s="2" t="s">
        <v>51</v>
      </c>
      <c r="I31" s="2" t="s">
        <v>52</v>
      </c>
      <c r="J31" s="2" t="s">
        <v>53</v>
      </c>
      <c r="K31" s="2" t="s">
        <v>54</v>
      </c>
      <c r="L31" s="2" t="s">
        <v>65</v>
      </c>
      <c r="M31" s="2" t="s">
        <v>71</v>
      </c>
      <c r="N31" s="2" t="s">
        <v>55</v>
      </c>
      <c r="O31" s="2" t="s">
        <v>66</v>
      </c>
      <c r="P31" s="2" t="s">
        <v>56</v>
      </c>
      <c r="Q31" s="2" t="s">
        <v>57</v>
      </c>
      <c r="R31" s="2" t="s">
        <v>57</v>
      </c>
      <c r="S31" s="2" t="s">
        <v>58</v>
      </c>
      <c r="T31" s="2" t="s">
        <v>59</v>
      </c>
      <c r="U31" s="2" t="s">
        <v>60</v>
      </c>
    </row>
    <row r="32" spans="1:21" ht="19.5" thickBot="1" x14ac:dyDescent="0.45">
      <c r="A32" s="16"/>
      <c r="B32" s="16"/>
      <c r="C32" s="14" t="s">
        <v>0</v>
      </c>
      <c r="D32" s="14" t="s">
        <v>61</v>
      </c>
      <c r="E32" s="14" t="s">
        <v>3</v>
      </c>
      <c r="F32" s="14" t="s">
        <v>62</v>
      </c>
      <c r="G32" s="14" t="s">
        <v>2</v>
      </c>
      <c r="H32" s="14" t="s">
        <v>2</v>
      </c>
      <c r="I32" s="14" t="s">
        <v>1</v>
      </c>
      <c r="J32" s="14" t="s">
        <v>1</v>
      </c>
      <c r="K32" s="14" t="s">
        <v>1</v>
      </c>
      <c r="L32" s="14" t="s">
        <v>2</v>
      </c>
      <c r="M32" s="14" t="s">
        <v>2</v>
      </c>
      <c r="N32" s="14" t="s">
        <v>0</v>
      </c>
      <c r="O32" s="14" t="s">
        <v>0</v>
      </c>
      <c r="P32" s="14" t="s">
        <v>63</v>
      </c>
      <c r="Q32" s="14" t="s">
        <v>63</v>
      </c>
      <c r="R32" s="14" t="s">
        <v>41</v>
      </c>
      <c r="S32" s="14" t="s">
        <v>63</v>
      </c>
      <c r="T32" s="16"/>
      <c r="U32" s="14" t="s">
        <v>0</v>
      </c>
    </row>
    <row r="33" spans="1:21" x14ac:dyDescent="0.4">
      <c r="A33" s="17" t="s">
        <v>72</v>
      </c>
      <c r="B33" s="18" t="s">
        <v>74</v>
      </c>
      <c r="C33" s="19">
        <f>$E$19</f>
        <v>0</v>
      </c>
      <c r="D33" s="19">
        <v>1</v>
      </c>
      <c r="E33" s="19">
        <v>0.5</v>
      </c>
      <c r="F33" s="19">
        <v>0.9</v>
      </c>
      <c r="G33" s="19">
        <f>熱伝達率!F3</f>
        <v>5.5208863527334868</v>
      </c>
      <c r="H33" s="19">
        <v>2.5</v>
      </c>
      <c r="I33" s="19">
        <f t="shared" ref="I33:I44" si="0">1/SUM(G33:H33)</f>
        <v>0.12467450055057865</v>
      </c>
      <c r="J33" s="19">
        <v>0.04</v>
      </c>
      <c r="K33" s="19">
        <f t="shared" ref="K33:K37" si="1">0.075+2.77777777777777</f>
        <v>2.8527777777777703</v>
      </c>
      <c r="L33" s="19">
        <f t="shared" ref="L33:L44" si="2">1/(I33+$K33+$J33)</f>
        <v>0.33140540686661474</v>
      </c>
      <c r="M33" s="19">
        <f t="shared" ref="M33:M46" si="3">1/(1/H33+J33+K33)</f>
        <v>0.30369495528935447</v>
      </c>
      <c r="N33" s="20">
        <f t="shared" ref="N33:N46" ca="1" si="4">O33-I33/SUM(I33:K33)*D33*(O33-C33)</f>
        <v>22.458321390975062</v>
      </c>
      <c r="O33" s="19">
        <f t="shared" ref="O33:O39" ca="1" si="5">($E$23*$H33+$E$24*$G33)/SUM($H33,$G33)</f>
        <v>23.426242267626179</v>
      </c>
      <c r="P33" s="19">
        <f t="shared" ref="P33:P39" ca="1" si="6">($E$23-$N33)*$H33</f>
        <v>13.767943088727117</v>
      </c>
      <c r="Q33" s="19">
        <f t="shared" ref="Q33:Q39" ca="1" si="7">($E$24-$N33)*$G33</f>
        <v>-6.0043597386703107</v>
      </c>
      <c r="R33" s="19">
        <f t="shared" ref="R33:R44" ca="1" si="8">Q33*E33</f>
        <v>-3.0021798693351553</v>
      </c>
      <c r="S33" s="21">
        <f t="shared" ref="S33:S44" ca="1" si="9">SUM($P33,$Q33)</f>
        <v>7.7635833500568063</v>
      </c>
      <c r="T33" s="19">
        <f t="shared" ref="T33:T36" si="10">(1-$T$37)*E33/SUM($E$33:$E$35,$E$37:$E$39)</f>
        <v>5.5000000000000007E-2</v>
      </c>
      <c r="U33" s="25">
        <f ca="1">SUMPRODUCT(N33:N39,T33:T39)</f>
        <v>21.670359132967949</v>
      </c>
    </row>
    <row r="34" spans="1:21" x14ac:dyDescent="0.4">
      <c r="A34" s="22"/>
      <c r="B34" s="2" t="s">
        <v>75</v>
      </c>
      <c r="C34" s="1">
        <f>$E$19</f>
        <v>0</v>
      </c>
      <c r="D34" s="1">
        <v>1</v>
      </c>
      <c r="E34" s="1">
        <v>1</v>
      </c>
      <c r="F34" s="1">
        <v>0.9</v>
      </c>
      <c r="G34" s="1">
        <f>熱伝達率!F4</f>
        <v>6.0680728569785138</v>
      </c>
      <c r="H34" s="1">
        <v>2.5</v>
      </c>
      <c r="I34" s="1">
        <f t="shared" si="0"/>
        <v>0.11671235955767127</v>
      </c>
      <c r="J34" s="1">
        <v>0.04</v>
      </c>
      <c r="K34" s="1">
        <f t="shared" si="1"/>
        <v>2.8527777777777703</v>
      </c>
      <c r="L34" s="1">
        <f t="shared" si="2"/>
        <v>0.3322821987665277</v>
      </c>
      <c r="M34" s="1">
        <f t="shared" si="3"/>
        <v>0.30369495528935447</v>
      </c>
      <c r="N34" s="5">
        <f t="shared" ca="1" si="4"/>
        <v>22.391558940049617</v>
      </c>
      <c r="O34" s="1">
        <f t="shared" ca="1" si="5"/>
        <v>23.294971465596191</v>
      </c>
      <c r="P34" s="1">
        <f t="shared" ca="1" si="6"/>
        <v>13.93484921604073</v>
      </c>
      <c r="Q34" s="1">
        <f t="shared" ca="1" si="7"/>
        <v>-6.194344877250713</v>
      </c>
      <c r="R34" s="1">
        <f t="shared" ca="1" si="8"/>
        <v>-6.194344877250713</v>
      </c>
      <c r="S34" s="3">
        <f t="shared" ca="1" si="9"/>
        <v>7.740504338790017</v>
      </c>
      <c r="T34" s="1">
        <f t="shared" si="10"/>
        <v>0.11000000000000001</v>
      </c>
      <c r="U34" s="26"/>
    </row>
    <row r="35" spans="1:21" x14ac:dyDescent="0.4">
      <c r="A35" s="22"/>
      <c r="B35" s="2" t="s">
        <v>76</v>
      </c>
      <c r="C35" s="1">
        <f>$E$19</f>
        <v>0</v>
      </c>
      <c r="D35" s="1">
        <v>1</v>
      </c>
      <c r="E35" s="1">
        <v>1</v>
      </c>
      <c r="F35" s="1">
        <v>0.9</v>
      </c>
      <c r="G35" s="1">
        <f>熱伝達率!F5</f>
        <v>6.0680728569785138</v>
      </c>
      <c r="H35" s="1">
        <v>2.5</v>
      </c>
      <c r="I35" s="1">
        <f t="shared" si="0"/>
        <v>0.11671235955767127</v>
      </c>
      <c r="J35" s="1">
        <v>0.04</v>
      </c>
      <c r="K35" s="1">
        <f t="shared" si="1"/>
        <v>2.8527777777777703</v>
      </c>
      <c r="L35" s="1">
        <f t="shared" si="2"/>
        <v>0.3322821987665277</v>
      </c>
      <c r="M35" s="1">
        <f t="shared" si="3"/>
        <v>0.30369495528935447</v>
      </c>
      <c r="N35" s="5">
        <f t="shared" ca="1" si="4"/>
        <v>22.391558940049617</v>
      </c>
      <c r="O35" s="1">
        <f t="shared" ca="1" si="5"/>
        <v>23.294971465596191</v>
      </c>
      <c r="P35" s="1">
        <f t="shared" ca="1" si="6"/>
        <v>13.93484921604073</v>
      </c>
      <c r="Q35" s="1">
        <f t="shared" ca="1" si="7"/>
        <v>-6.194344877250713</v>
      </c>
      <c r="R35" s="1">
        <f t="shared" ca="1" si="8"/>
        <v>-6.194344877250713</v>
      </c>
      <c r="S35" s="3">
        <f t="shared" ca="1" si="9"/>
        <v>7.740504338790017</v>
      </c>
      <c r="T35" s="1">
        <f t="shared" si="10"/>
        <v>0.11000000000000001</v>
      </c>
      <c r="U35" s="26"/>
    </row>
    <row r="36" spans="1:21" x14ac:dyDescent="0.4">
      <c r="A36" s="22"/>
      <c r="B36" s="2" t="s">
        <v>77</v>
      </c>
      <c r="C36" s="1">
        <f t="shared" ref="C36:C45" si="11">$E$19</f>
        <v>0</v>
      </c>
      <c r="D36" s="1">
        <v>1</v>
      </c>
      <c r="E36" s="1">
        <v>1</v>
      </c>
      <c r="F36" s="1">
        <v>0.9</v>
      </c>
      <c r="G36" s="1">
        <f>熱伝達率!F6</f>
        <v>6.0680728569785138</v>
      </c>
      <c r="H36" s="1">
        <v>2.5</v>
      </c>
      <c r="I36" s="1">
        <f t="shared" si="0"/>
        <v>0.11671235955767127</v>
      </c>
      <c r="J36" s="1">
        <v>0.04</v>
      </c>
      <c r="K36" s="1">
        <f t="shared" si="1"/>
        <v>2.8527777777777703</v>
      </c>
      <c r="L36" s="1">
        <f t="shared" si="2"/>
        <v>0.3322821987665277</v>
      </c>
      <c r="M36" s="1">
        <f t="shared" si="3"/>
        <v>0.30369495528935447</v>
      </c>
      <c r="N36" s="5">
        <f t="shared" ca="1" si="4"/>
        <v>22.391558940049617</v>
      </c>
      <c r="O36" s="1">
        <f t="shared" ca="1" si="5"/>
        <v>23.294971465596191</v>
      </c>
      <c r="P36" s="1">
        <f t="shared" ca="1" si="6"/>
        <v>13.93484921604073</v>
      </c>
      <c r="Q36" s="1">
        <f t="shared" ca="1" si="7"/>
        <v>-6.194344877250713</v>
      </c>
      <c r="R36" s="1">
        <f t="shared" ca="1" si="8"/>
        <v>-6.194344877250713</v>
      </c>
      <c r="S36" s="3">
        <f t="shared" ca="1" si="9"/>
        <v>7.740504338790017</v>
      </c>
      <c r="T36" s="1">
        <f t="shared" si="10"/>
        <v>0.11000000000000001</v>
      </c>
      <c r="U36" s="26"/>
    </row>
    <row r="37" spans="1:21" x14ac:dyDescent="0.4">
      <c r="A37" s="22"/>
      <c r="B37" s="2" t="s">
        <v>69</v>
      </c>
      <c r="C37" s="1">
        <f t="shared" si="11"/>
        <v>0</v>
      </c>
      <c r="D37" s="1">
        <v>1</v>
      </c>
      <c r="E37" s="1">
        <v>1</v>
      </c>
      <c r="F37" s="1">
        <v>0.9</v>
      </c>
      <c r="G37" s="1">
        <f>熱伝達率!F7</f>
        <v>6.0680728569785138</v>
      </c>
      <c r="H37" s="1">
        <v>2.5</v>
      </c>
      <c r="I37" s="1">
        <f t="shared" si="0"/>
        <v>0.11671235955767127</v>
      </c>
      <c r="J37" s="1">
        <v>0.04</v>
      </c>
      <c r="K37" s="1">
        <f t="shared" si="1"/>
        <v>2.8527777777777703</v>
      </c>
      <c r="L37" s="1">
        <f t="shared" si="2"/>
        <v>0.3322821987665277</v>
      </c>
      <c r="M37" s="1">
        <f t="shared" si="3"/>
        <v>0.30369495528935447</v>
      </c>
      <c r="N37" s="5">
        <f t="shared" ca="1" si="4"/>
        <v>22.391558940049617</v>
      </c>
      <c r="O37" s="1">
        <f t="shared" ca="1" si="5"/>
        <v>23.294971465596191</v>
      </c>
      <c r="P37" s="1">
        <f t="shared" ca="1" si="6"/>
        <v>13.93484921604073</v>
      </c>
      <c r="Q37" s="1">
        <f t="shared" ca="1" si="7"/>
        <v>-6.194344877250713</v>
      </c>
      <c r="R37" s="1">
        <f t="shared" ca="1" si="8"/>
        <v>-6.194344877250713</v>
      </c>
      <c r="S37" s="3">
        <f t="shared" ca="1" si="9"/>
        <v>7.740504338790017</v>
      </c>
      <c r="T37" s="1">
        <v>0.45</v>
      </c>
      <c r="U37" s="26"/>
    </row>
    <row r="38" spans="1:21" x14ac:dyDescent="0.4">
      <c r="A38" s="22"/>
      <c r="B38" s="2" t="s">
        <v>64</v>
      </c>
      <c r="C38" s="1">
        <f>$E$19</f>
        <v>0</v>
      </c>
      <c r="D38" s="1">
        <v>1</v>
      </c>
      <c r="E38" s="1">
        <v>0.5</v>
      </c>
      <c r="F38" s="1">
        <v>0.9</v>
      </c>
      <c r="G38" s="1">
        <f>熱伝達率!F8</f>
        <v>5.5208863527334868</v>
      </c>
      <c r="H38" s="1">
        <v>2.5</v>
      </c>
      <c r="I38" s="1">
        <f>1/SUM(G38:H38)</f>
        <v>0.12467450055057865</v>
      </c>
      <c r="J38" s="1">
        <v>0.04</v>
      </c>
      <c r="K38" s="1">
        <f>1/4.65-0.11-0.04</f>
        <v>6.5053763440860196E-2</v>
      </c>
      <c r="L38" s="1">
        <f>1/(I38+$K38+$J38)</f>
        <v>4.3529689495989334</v>
      </c>
      <c r="M38" s="1">
        <f t="shared" si="3"/>
        <v>1.9799872258888653</v>
      </c>
      <c r="N38" s="5">
        <f t="shared" ca="1" si="4"/>
        <v>10.712721502928424</v>
      </c>
      <c r="O38" s="1">
        <f t="shared" ca="1" si="5"/>
        <v>23.426242267626179</v>
      </c>
      <c r="P38" s="1">
        <f t="shared" ca="1" si="6"/>
        <v>43.131942808843711</v>
      </c>
      <c r="Q38" s="1">
        <f t="shared" ca="1" si="7"/>
        <v>58.841762387914343</v>
      </c>
      <c r="R38" s="1">
        <f ca="1">Q38*E38</f>
        <v>29.420881193957172</v>
      </c>
      <c r="S38" s="3">
        <f ca="1">SUM($P38,$Q38)</f>
        <v>101.97370519675806</v>
      </c>
      <c r="T38" s="1">
        <f t="shared" ref="T38:T39" si="12">(1-$T$37)*E38/SUM($E$33:$E$35,$E$37:$E$39)</f>
        <v>5.5000000000000007E-2</v>
      </c>
      <c r="U38" s="26"/>
    </row>
    <row r="39" spans="1:21" s="23" customFormat="1" ht="19.5" thickBot="1" x14ac:dyDescent="0.45">
      <c r="A39" s="27"/>
      <c r="B39" s="28" t="s">
        <v>82</v>
      </c>
      <c r="C39" s="29">
        <f ca="1">O46</f>
        <v>17.437016728236816</v>
      </c>
      <c r="D39" s="29">
        <v>1</v>
      </c>
      <c r="E39" s="29">
        <v>1</v>
      </c>
      <c r="F39" s="29">
        <v>0.9</v>
      </c>
      <c r="G39" s="29">
        <f>熱伝達率!F9</f>
        <v>6.0680728569785138</v>
      </c>
      <c r="H39" s="29">
        <v>2.5</v>
      </c>
      <c r="I39" s="29">
        <f>1/SUM(G39:H39)</f>
        <v>0.11671235955767127</v>
      </c>
      <c r="J39" s="29">
        <f>I46</f>
        <v>0.11671235955767127</v>
      </c>
      <c r="K39" s="29">
        <f>0.055*2+0.07</f>
        <v>0.18</v>
      </c>
      <c r="L39" s="29">
        <f>1/(I39+$K39+$J39)</f>
        <v>2.4188200505761417</v>
      </c>
      <c r="M39" s="29">
        <f t="shared" si="3"/>
        <v>1.4353125594540623</v>
      </c>
      <c r="N39" s="30">
        <f t="shared" ca="1" si="4"/>
        <v>21.641234550584972</v>
      </c>
      <c r="O39" s="29">
        <f t="shared" ca="1" si="5"/>
        <v>23.294971465596191</v>
      </c>
      <c r="P39" s="29">
        <f t="shared" ca="1" si="6"/>
        <v>15.810660189702341</v>
      </c>
      <c r="Q39" s="29">
        <f t="shared" ca="1" si="7"/>
        <v>-1.6413218156113285</v>
      </c>
      <c r="R39" s="29">
        <f ca="1">Q39*E39</f>
        <v>-1.6413218156113285</v>
      </c>
      <c r="S39" s="31">
        <f ca="1">SUM($P39,$Q39)</f>
        <v>14.169338374091012</v>
      </c>
      <c r="T39" s="29">
        <f t="shared" si="12"/>
        <v>0.11000000000000001</v>
      </c>
      <c r="U39" s="32"/>
    </row>
    <row r="40" spans="1:21" x14ac:dyDescent="0.4">
      <c r="A40" s="17" t="s">
        <v>73</v>
      </c>
      <c r="B40" s="18" t="s">
        <v>74</v>
      </c>
      <c r="C40" s="19">
        <f t="shared" si="11"/>
        <v>0</v>
      </c>
      <c r="D40" s="19">
        <v>1</v>
      </c>
      <c r="E40" s="19">
        <v>0.5</v>
      </c>
      <c r="F40" s="19">
        <v>0.9</v>
      </c>
      <c r="G40" s="19">
        <f>熱伝達率!F3</f>
        <v>5.5208863527334868</v>
      </c>
      <c r="H40" s="19">
        <v>2.5</v>
      </c>
      <c r="I40" s="19">
        <f t="shared" si="0"/>
        <v>0.12467450055057865</v>
      </c>
      <c r="J40" s="19">
        <v>0.04</v>
      </c>
      <c r="K40" s="19">
        <f t="shared" ref="K40:K44" si="13">0.075+2.77777777777777</f>
        <v>2.8527777777777703</v>
      </c>
      <c r="L40" s="19">
        <f t="shared" si="2"/>
        <v>0.33140540686661474</v>
      </c>
      <c r="M40" s="19">
        <f t="shared" si="3"/>
        <v>0.30369495528935447</v>
      </c>
      <c r="N40" s="20">
        <f t="shared" ca="1" si="4"/>
        <v>16.778993882592424</v>
      </c>
      <c r="O40" s="19">
        <f t="shared" ref="O40:O46" ca="1" si="14">($E$27*$H40+$E$28*$G40)/SUM($H40,$G40)</f>
        <v>17.502144031948095</v>
      </c>
      <c r="P40" s="19">
        <f t="shared" ref="P40:P46" ca="1" si="15">($E$27-$N40)*$H40</f>
        <v>7.4380216613466654</v>
      </c>
      <c r="Q40" s="19">
        <f t="shared" ref="Q40:Q46" ca="1" si="16">($E$28-$N40)*$G40</f>
        <v>-1.6377164974025593</v>
      </c>
      <c r="R40" s="19">
        <f t="shared" ca="1" si="8"/>
        <v>-0.81885824870127966</v>
      </c>
      <c r="S40" s="21">
        <f t="shared" ca="1" si="9"/>
        <v>5.8003051639441061</v>
      </c>
      <c r="T40" s="19">
        <f t="shared" ref="T40:T45" si="17">(1-$T$46)*E40/SUM($E$40:$E$42,$E$44:$E$46)</f>
        <v>5.5000000000000007E-2</v>
      </c>
      <c r="U40" s="25">
        <f ca="1">SUMPRODUCT(N40:N46,T40:T46)</f>
        <v>17.3286299196945</v>
      </c>
    </row>
    <row r="41" spans="1:21" x14ac:dyDescent="0.4">
      <c r="A41" s="22"/>
      <c r="B41" s="2" t="s">
        <v>75</v>
      </c>
      <c r="C41" s="1">
        <f t="shared" si="11"/>
        <v>0</v>
      </c>
      <c r="D41" s="1">
        <v>1</v>
      </c>
      <c r="E41" s="1">
        <v>1</v>
      </c>
      <c r="F41" s="1">
        <v>0.9</v>
      </c>
      <c r="G41" s="1">
        <f>熱伝達率!F4</f>
        <v>6.0680728569785138</v>
      </c>
      <c r="H41" s="1">
        <v>2.5</v>
      </c>
      <c r="I41" s="1">
        <f t="shared" si="0"/>
        <v>0.11671235955767127</v>
      </c>
      <c r="J41" s="1">
        <v>0.04</v>
      </c>
      <c r="K41" s="1">
        <f t="shared" si="13"/>
        <v>2.8527777777777703</v>
      </c>
      <c r="L41" s="1">
        <f t="shared" si="2"/>
        <v>0.3322821987665277</v>
      </c>
      <c r="M41" s="1">
        <f t="shared" si="3"/>
        <v>0.30369495528935447</v>
      </c>
      <c r="N41" s="5">
        <f t="shared" ca="1" si="4"/>
        <v>16.760784119679087</v>
      </c>
      <c r="O41" s="1">
        <f t="shared" ca="1" si="14"/>
        <v>17.437016728236593</v>
      </c>
      <c r="P41" s="1">
        <f t="shared" ca="1" si="15"/>
        <v>7.483546068630007</v>
      </c>
      <c r="Q41" s="1">
        <f t="shared" ca="1" si="16"/>
        <v>-1.6895358102446816</v>
      </c>
      <c r="R41" s="1">
        <f t="shared" ca="1" si="8"/>
        <v>-1.6895358102446816</v>
      </c>
      <c r="S41" s="3">
        <f t="shared" ca="1" si="9"/>
        <v>5.7940102583853257</v>
      </c>
      <c r="T41" s="1">
        <f t="shared" si="17"/>
        <v>0.11000000000000001</v>
      </c>
      <c r="U41" s="26"/>
    </row>
    <row r="42" spans="1:21" x14ac:dyDescent="0.4">
      <c r="A42" s="22"/>
      <c r="B42" s="2" t="s">
        <v>76</v>
      </c>
      <c r="C42" s="1">
        <f t="shared" si="11"/>
        <v>0</v>
      </c>
      <c r="D42" s="1">
        <v>1</v>
      </c>
      <c r="E42" s="1">
        <v>1</v>
      </c>
      <c r="F42" s="1">
        <v>0.9</v>
      </c>
      <c r="G42" s="1">
        <f>熱伝達率!F5</f>
        <v>6.0680728569785138</v>
      </c>
      <c r="H42" s="1">
        <v>2.5</v>
      </c>
      <c r="I42" s="1">
        <f t="shared" si="0"/>
        <v>0.11671235955767127</v>
      </c>
      <c r="J42" s="1">
        <v>0.04</v>
      </c>
      <c r="K42" s="1">
        <f t="shared" si="13"/>
        <v>2.8527777777777703</v>
      </c>
      <c r="L42" s="1">
        <f t="shared" si="2"/>
        <v>0.3322821987665277</v>
      </c>
      <c r="M42" s="1">
        <f t="shared" si="3"/>
        <v>0.30369495528935447</v>
      </c>
      <c r="N42" s="5">
        <f t="shared" ca="1" si="4"/>
        <v>16.760784119679087</v>
      </c>
      <c r="O42" s="1">
        <f t="shared" ca="1" si="14"/>
        <v>17.437016728236593</v>
      </c>
      <c r="P42" s="1">
        <f t="shared" ca="1" si="15"/>
        <v>7.483546068630007</v>
      </c>
      <c r="Q42" s="1">
        <f t="shared" ca="1" si="16"/>
        <v>-1.6895358102446816</v>
      </c>
      <c r="R42" s="1">
        <f t="shared" ca="1" si="8"/>
        <v>-1.6895358102446816</v>
      </c>
      <c r="S42" s="3">
        <f t="shared" ca="1" si="9"/>
        <v>5.7940102583853257</v>
      </c>
      <c r="T42" s="1">
        <f t="shared" si="17"/>
        <v>0.11000000000000001</v>
      </c>
      <c r="U42" s="26"/>
    </row>
    <row r="43" spans="1:21" x14ac:dyDescent="0.4">
      <c r="A43" s="22"/>
      <c r="B43" s="2" t="s">
        <v>77</v>
      </c>
      <c r="C43" s="1">
        <f>$E$19</f>
        <v>0</v>
      </c>
      <c r="D43" s="1">
        <v>1</v>
      </c>
      <c r="E43" s="1">
        <v>1</v>
      </c>
      <c r="F43" s="1">
        <v>0.9</v>
      </c>
      <c r="G43" s="1">
        <f>熱伝達率!F6</f>
        <v>6.0680728569785138</v>
      </c>
      <c r="H43" s="1">
        <v>2.5</v>
      </c>
      <c r="I43" s="1">
        <f t="shared" si="0"/>
        <v>0.11671235955767127</v>
      </c>
      <c r="J43" s="1">
        <v>0.04</v>
      </c>
      <c r="K43" s="1">
        <f t="shared" si="13"/>
        <v>2.8527777777777703</v>
      </c>
      <c r="L43" s="1">
        <f t="shared" si="2"/>
        <v>0.3322821987665277</v>
      </c>
      <c r="M43" s="1">
        <f t="shared" si="3"/>
        <v>0.30369495528935447</v>
      </c>
      <c r="N43" s="5">
        <f t="shared" ca="1" si="4"/>
        <v>16.760784119679087</v>
      </c>
      <c r="O43" s="1">
        <f t="shared" ca="1" si="14"/>
        <v>17.437016728236593</v>
      </c>
      <c r="P43" s="1">
        <f t="shared" ca="1" si="15"/>
        <v>7.483546068630007</v>
      </c>
      <c r="Q43" s="1">
        <f t="shared" ca="1" si="16"/>
        <v>-1.6895358102446816</v>
      </c>
      <c r="R43" s="1">
        <f t="shared" ca="1" si="8"/>
        <v>-1.6895358102446816</v>
      </c>
      <c r="S43" s="3">
        <f t="shared" ca="1" si="9"/>
        <v>5.7940102583853257</v>
      </c>
      <c r="T43" s="1">
        <f t="shared" si="17"/>
        <v>0.11000000000000001</v>
      </c>
      <c r="U43" s="26"/>
    </row>
    <row r="44" spans="1:21" x14ac:dyDescent="0.4">
      <c r="A44" s="22"/>
      <c r="B44" s="2" t="s">
        <v>15</v>
      </c>
      <c r="C44" s="1">
        <f>$E$19</f>
        <v>0</v>
      </c>
      <c r="D44" s="1">
        <v>1</v>
      </c>
      <c r="E44" s="1">
        <v>1</v>
      </c>
      <c r="F44" s="1">
        <v>0.9</v>
      </c>
      <c r="G44" s="1">
        <f>熱伝達率!F7</f>
        <v>6.0680728569785138</v>
      </c>
      <c r="H44" s="1">
        <v>2.5</v>
      </c>
      <c r="I44" s="1">
        <f t="shared" si="0"/>
        <v>0.11671235955767127</v>
      </c>
      <c r="J44" s="1">
        <v>0.04</v>
      </c>
      <c r="K44" s="1">
        <f t="shared" si="13"/>
        <v>2.8527777777777703</v>
      </c>
      <c r="L44" s="1">
        <f t="shared" si="2"/>
        <v>0.3322821987665277</v>
      </c>
      <c r="M44" s="1">
        <f t="shared" si="3"/>
        <v>0.30369495528935447</v>
      </c>
      <c r="N44" s="5">
        <f t="shared" ca="1" si="4"/>
        <v>16.760784119679087</v>
      </c>
      <c r="O44" s="1">
        <f t="shared" ca="1" si="14"/>
        <v>17.437016728236593</v>
      </c>
      <c r="P44" s="1">
        <f t="shared" ca="1" si="15"/>
        <v>7.483546068630007</v>
      </c>
      <c r="Q44" s="1">
        <f t="shared" ca="1" si="16"/>
        <v>-1.6895358102446816</v>
      </c>
      <c r="R44" s="1">
        <f t="shared" ca="1" si="8"/>
        <v>-1.6895358102446816</v>
      </c>
      <c r="S44" s="3">
        <f t="shared" ca="1" si="9"/>
        <v>5.7940102583853257</v>
      </c>
      <c r="T44" s="1">
        <f t="shared" si="17"/>
        <v>0.11000000000000001</v>
      </c>
      <c r="U44" s="26"/>
    </row>
    <row r="45" spans="1:21" x14ac:dyDescent="0.4">
      <c r="A45" s="22"/>
      <c r="B45" s="2" t="s">
        <v>64</v>
      </c>
      <c r="C45" s="1">
        <f t="shared" si="11"/>
        <v>0</v>
      </c>
      <c r="D45" s="1">
        <v>1</v>
      </c>
      <c r="E45" s="1">
        <v>0.5</v>
      </c>
      <c r="F45" s="1">
        <v>0.9</v>
      </c>
      <c r="G45" s="1">
        <f>熱伝達率!F8</f>
        <v>5.5208863527334868</v>
      </c>
      <c r="H45" s="1">
        <v>2.5</v>
      </c>
      <c r="I45" s="1">
        <f>1/SUM(G45:H45)</f>
        <v>0.12467450055057865</v>
      </c>
      <c r="J45" s="1">
        <v>0.04</v>
      </c>
      <c r="K45" s="1">
        <f>1/4.65-0.11-0.04</f>
        <v>6.5053763440860196E-2</v>
      </c>
      <c r="L45" s="1">
        <f>1/(I45+$K45+$J45)</f>
        <v>4.3529689495989334</v>
      </c>
      <c r="M45" s="1">
        <f t="shared" si="3"/>
        <v>1.9799872258888653</v>
      </c>
      <c r="N45" s="5">
        <f t="shared" ca="1" si="4"/>
        <v>8.0036564369314291</v>
      </c>
      <c r="O45" s="1">
        <f t="shared" ca="1" si="14"/>
        <v>17.502144031948095</v>
      </c>
      <c r="P45" s="1">
        <f t="shared" ca="1" si="15"/>
        <v>29.376365275499154</v>
      </c>
      <c r="Q45" s="1">
        <f t="shared" ca="1" si="16"/>
        <v>46.809924246978362</v>
      </c>
      <c r="R45" s="1">
        <f ca="1">Q45*E45</f>
        <v>23.404962123489181</v>
      </c>
      <c r="S45" s="3">
        <f ca="1">SUM($P45,$Q45)</f>
        <v>76.186289522477523</v>
      </c>
      <c r="T45" s="1">
        <f t="shared" si="17"/>
        <v>5.5000000000000007E-2</v>
      </c>
      <c r="U45" s="26"/>
    </row>
    <row r="46" spans="1:21" s="23" customFormat="1" ht="19.5" thickBot="1" x14ac:dyDescent="0.45">
      <c r="A46" s="27"/>
      <c r="B46" s="28" t="s">
        <v>69</v>
      </c>
      <c r="C46" s="29">
        <f ca="1">O39</f>
        <v>23.294971465596191</v>
      </c>
      <c r="D46" s="29">
        <v>1</v>
      </c>
      <c r="E46" s="29">
        <v>1</v>
      </c>
      <c r="F46" s="29">
        <v>0.9</v>
      </c>
      <c r="G46" s="29">
        <f>熱伝達率!F9</f>
        <v>6.0680728569785138</v>
      </c>
      <c r="H46" s="29">
        <v>2.5</v>
      </c>
      <c r="I46" s="29">
        <f>1/SUM(G46:H46)</f>
        <v>0.11671235955767127</v>
      </c>
      <c r="J46" s="29">
        <f>I39</f>
        <v>0.11671235955767127</v>
      </c>
      <c r="K46" s="29">
        <f>0.055*2+0.07</f>
        <v>0.18</v>
      </c>
      <c r="L46" s="29">
        <f>1/(I46+$K46+$J46)</f>
        <v>2.4188200505761417</v>
      </c>
      <c r="M46" s="29">
        <f t="shared" si="3"/>
        <v>1.4353125594540623</v>
      </c>
      <c r="N46" s="30">
        <f t="shared" ca="1" si="4"/>
        <v>19.090753643248192</v>
      </c>
      <c r="O46" s="29">
        <f t="shared" ca="1" si="14"/>
        <v>17.437016728236593</v>
      </c>
      <c r="P46" s="29">
        <f t="shared" ca="1" si="15"/>
        <v>1.6586222597072453</v>
      </c>
      <c r="Q46" s="29">
        <f t="shared" ca="1" si="16"/>
        <v>-15.827960633801526</v>
      </c>
      <c r="R46" s="29">
        <f ca="1">Q46*E46</f>
        <v>-15.827960633801526</v>
      </c>
      <c r="S46" s="31">
        <f ca="1">SUM($P46,$Q46)</f>
        <v>-14.169338374094281</v>
      </c>
      <c r="T46" s="29">
        <v>0.45</v>
      </c>
      <c r="U46" s="32"/>
    </row>
    <row r="48" spans="1:21" x14ac:dyDescent="0.4">
      <c r="O48" s="40" t="str">
        <f ca="1">_xlfn.TEXTJOIN(", ",TRUE,O33:O37,O40:O44,O38,O45,O39,O46)</f>
        <v>23.4262422676262, 23.2949714655962, 23.2949714655962, 23.2949714655962, 23.2949714655962, 17.5021440319481, 17.4370167282366, 17.4370167282366, 17.4370167282366, 17.4370167282366, 23.4262422676262, 17.5021440319481, 23.2949714655962, 17.4370167282366</v>
      </c>
      <c r="S48" s="39" t="str">
        <f ca="1">_xlfn.TEXTJOIN(", ",TRUE,S33:S37,S40:S44,S38,S45,S39,S46)</f>
        <v>7.76358335005681, 7.74050433879002, 7.74050433879002, 7.74050433879002, 7.74050433879002, 5.80030516394411, 5.79401025838533, 5.79401025838533, 5.79401025838533, 5.79401025838533, 101.973705196758, 76.1862895224775, 14.169338374091, -14.1693383740943</v>
      </c>
    </row>
    <row r="51" spans="15:19" x14ac:dyDescent="0.4">
      <c r="O51" s="34"/>
      <c r="S51" s="33"/>
    </row>
    <row r="52" spans="15:19" x14ac:dyDescent="0.4">
      <c r="O52" s="34"/>
      <c r="S52" s="33"/>
    </row>
    <row r="53" spans="15:19" x14ac:dyDescent="0.4">
      <c r="O53" s="34"/>
      <c r="S53" s="33"/>
    </row>
    <row r="54" spans="15:19" x14ac:dyDescent="0.4">
      <c r="O54" s="34"/>
      <c r="S54" s="33"/>
    </row>
    <row r="55" spans="15:19" x14ac:dyDescent="0.4">
      <c r="O55" s="34"/>
      <c r="S55" s="33"/>
    </row>
    <row r="56" spans="15:19" x14ac:dyDescent="0.4">
      <c r="O56" s="34"/>
      <c r="S56" s="33"/>
    </row>
    <row r="57" spans="15:19" x14ac:dyDescent="0.4">
      <c r="O57" s="34"/>
      <c r="S57" s="33"/>
    </row>
    <row r="58" spans="15:19" x14ac:dyDescent="0.4">
      <c r="O58" s="34"/>
      <c r="S58" s="33"/>
    </row>
    <row r="59" spans="15:19" x14ac:dyDescent="0.4">
      <c r="O59" s="34"/>
      <c r="S59" s="33"/>
    </row>
    <row r="60" spans="15:19" x14ac:dyDescent="0.4">
      <c r="O60" s="34"/>
      <c r="S60" s="33"/>
    </row>
    <row r="61" spans="15:19" x14ac:dyDescent="0.4">
      <c r="O61" s="34"/>
      <c r="S61" s="33"/>
    </row>
    <row r="62" spans="15:19" x14ac:dyDescent="0.4">
      <c r="O62" s="34"/>
      <c r="S62" s="33"/>
    </row>
    <row r="63" spans="15:19" x14ac:dyDescent="0.4">
      <c r="O63" s="34"/>
      <c r="S63" s="33"/>
    </row>
    <row r="64" spans="15:19" x14ac:dyDescent="0.4">
      <c r="O64" s="34"/>
      <c r="S64" s="33"/>
    </row>
  </sheetData>
  <mergeCells count="4">
    <mergeCell ref="A22:A28"/>
    <mergeCell ref="A18:C18"/>
    <mergeCell ref="B21:B24"/>
    <mergeCell ref="B25:B2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2025-02-14T06:42:40Z</dcterms:modified>
</cp:coreProperties>
</file>