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satohercom-my.sharepoint.com/personal/satoh_satoh-er_com/Documents/users/sourcetree/heat_load_calc/test/test_steady_multizone/steady02/"/>
    </mc:Choice>
  </mc:AlternateContent>
  <xr:revisionPtr revIDLastSave="266" documentId="13_ncr:1_{D95669B3-395F-4B70-A1FA-71535848FF4D}" xr6:coauthVersionLast="47" xr6:coauthVersionMax="47" xr10:uidLastSave="{59C8CEB7-FCB2-4390-90D9-BCB3442EC80D}"/>
  <bookViews>
    <workbookView xWindow="14295" yWindow="0" windowWidth="14610" windowHeight="15585" activeTab="1" xr2:uid="{45A1B7A6-7409-41F9-BB10-4729754C71E5}"/>
  </bookViews>
  <sheets>
    <sheet name="熱伝達率" sheetId="2" r:id="rId1"/>
    <sheet name="正解値" sheetId="1" r:id="rId2"/>
  </sheets>
  <calcPr calcId="191029" iterate="1" iterateCount="32767" iterateDelta="1E-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4" i="1" l="1"/>
  <c r="P57" i="1"/>
  <c r="D64" i="1" l="1"/>
  <c r="C62" i="1"/>
  <c r="C61" i="1"/>
  <c r="C60" i="1"/>
  <c r="C59" i="1"/>
  <c r="C56" i="1"/>
  <c r="C64" i="1"/>
  <c r="C55" i="1"/>
  <c r="C54" i="1"/>
  <c r="C53" i="1"/>
  <c r="C52" i="1"/>
  <c r="C57" i="1"/>
  <c r="C63" i="1"/>
  <c r="D63" i="1"/>
  <c r="F63" i="1" s="1"/>
  <c r="G63" i="1" s="1"/>
  <c r="D62" i="1"/>
  <c r="F62" i="1" s="1"/>
  <c r="G62" i="1" s="1"/>
  <c r="D61" i="1"/>
  <c r="F61" i="1" s="1"/>
  <c r="G61" i="1" s="1"/>
  <c r="D60" i="1"/>
  <c r="F60" i="1" s="1"/>
  <c r="G60" i="1" s="1"/>
  <c r="D59" i="1"/>
  <c r="F59" i="1" s="1"/>
  <c r="G59" i="1" s="1"/>
  <c r="D57" i="1"/>
  <c r="F57" i="1" s="1"/>
  <c r="G57" i="1" s="1"/>
  <c r="D56" i="1"/>
  <c r="F56" i="1" s="1"/>
  <c r="G56" i="1" s="1"/>
  <c r="D52" i="1"/>
  <c r="F52" i="1" s="1"/>
  <c r="G52" i="1" s="1"/>
  <c r="D53" i="1"/>
  <c r="F53" i="1" s="1"/>
  <c r="G53" i="1" s="1"/>
  <c r="D54" i="1"/>
  <c r="F54" i="1" s="1"/>
  <c r="G54" i="1" s="1"/>
  <c r="D55" i="1"/>
  <c r="F55" i="1" s="1"/>
  <c r="G55" i="1" s="1"/>
  <c r="E23" i="1"/>
  <c r="E22" i="1"/>
  <c r="AC59" i="1"/>
  <c r="AC60" i="1"/>
  <c r="AC61" i="1"/>
  <c r="AC62" i="1"/>
  <c r="AC63" i="1"/>
  <c r="AC64" i="1"/>
  <c r="AC52" i="1"/>
  <c r="AC53" i="1"/>
  <c r="AC54" i="1"/>
  <c r="AC55" i="1"/>
  <c r="AC57" i="1"/>
  <c r="AC58" i="1"/>
  <c r="S65" i="1"/>
  <c r="S58" i="1"/>
  <c r="S63" i="1"/>
  <c r="U63" i="1" s="1"/>
  <c r="S62" i="1"/>
  <c r="U62" i="1" s="1"/>
  <c r="S61" i="1"/>
  <c r="U61" i="1" s="1"/>
  <c r="S60" i="1"/>
  <c r="U60" i="1" s="1"/>
  <c r="S59" i="1"/>
  <c r="U59" i="1" s="1"/>
  <c r="S52" i="1"/>
  <c r="U52" i="1" s="1"/>
  <c r="S53" i="1"/>
  <c r="U53" i="1" s="1"/>
  <c r="S54" i="1"/>
  <c r="U54" i="1" s="1"/>
  <c r="S55" i="1"/>
  <c r="U55" i="1" s="1"/>
  <c r="S56" i="1"/>
  <c r="U56" i="1" s="1"/>
  <c r="B3" i="2"/>
  <c r="B4" i="2"/>
  <c r="B5" i="2"/>
  <c r="B6" i="2"/>
  <c r="B7" i="2"/>
  <c r="B8" i="2"/>
  <c r="B9" i="2"/>
  <c r="S57" i="1"/>
  <c r="U57" i="1" s="1"/>
  <c r="S64" i="1"/>
  <c r="U64" i="1" s="1"/>
  <c r="E52" i="1" l="1"/>
  <c r="E64" i="1"/>
  <c r="E53" i="1"/>
  <c r="E24" i="1"/>
  <c r="E26" i="1" s="1"/>
  <c r="E57" i="1"/>
  <c r="E56" i="1"/>
  <c r="E55" i="1"/>
  <c r="H55" i="1" s="1"/>
  <c r="K55" i="1" s="1"/>
  <c r="E54" i="1"/>
  <c r="E59" i="1"/>
  <c r="H59" i="1" s="1"/>
  <c r="K59" i="1" s="1"/>
  <c r="E60" i="1"/>
  <c r="H60" i="1" s="1"/>
  <c r="K60" i="1" s="1"/>
  <c r="E61" i="1"/>
  <c r="H61" i="1" s="1"/>
  <c r="K61" i="1" s="1"/>
  <c r="E62" i="1"/>
  <c r="H62" i="1" s="1"/>
  <c r="K62" i="1" s="1"/>
  <c r="E63" i="1"/>
  <c r="H63" i="1" s="1"/>
  <c r="K63" i="1" s="1"/>
  <c r="H56" i="1"/>
  <c r="K56" i="1" s="1"/>
  <c r="H54" i="1"/>
  <c r="K54" i="1" s="1"/>
  <c r="F64" i="1"/>
  <c r="G64" i="1" s="1"/>
  <c r="B10" i="2"/>
  <c r="E27" i="1"/>
  <c r="E9" i="2"/>
  <c r="J64" i="1" l="1"/>
  <c r="W65" i="1" s="1"/>
  <c r="H57" i="1"/>
  <c r="J57" i="1"/>
  <c r="W56" i="1" s="1"/>
  <c r="I64" i="1"/>
  <c r="I57" i="1"/>
  <c r="H52" i="1"/>
  <c r="K52" i="1" s="1"/>
  <c r="H53" i="1"/>
  <c r="K53" i="1" s="1"/>
  <c r="H64" i="1"/>
  <c r="A4" i="2"/>
  <c r="A5" i="2"/>
  <c r="A3" i="2"/>
  <c r="E4" i="2"/>
  <c r="E5" i="2"/>
  <c r="E8" i="2"/>
  <c r="E6" i="2"/>
  <c r="E7" i="2"/>
  <c r="E3" i="2"/>
  <c r="C9" i="2" l="1"/>
  <c r="D9" i="2" s="1"/>
  <c r="F9" i="2" s="1"/>
  <c r="O65" i="1" l="1"/>
  <c r="Q65" i="1" s="1"/>
  <c r="O58" i="1"/>
  <c r="Q58" i="1" s="1"/>
  <c r="C5" i="2"/>
  <c r="D5" i="2" s="1"/>
  <c r="F5" i="2" s="1"/>
  <c r="C8" i="2"/>
  <c r="D8" i="2" s="1"/>
  <c r="F8" i="2" s="1"/>
  <c r="C7" i="2"/>
  <c r="D7" i="2" s="1"/>
  <c r="F7" i="2" s="1"/>
  <c r="C4" i="2"/>
  <c r="D4" i="2" s="1"/>
  <c r="F4" i="2" s="1"/>
  <c r="C6" i="2"/>
  <c r="D6" i="2" s="1"/>
  <c r="F6" i="2" s="1"/>
  <c r="C3" i="2"/>
  <c r="D3" i="2" s="1"/>
  <c r="D10" i="2" l="1"/>
  <c r="O53" i="1"/>
  <c r="Q53" i="1" s="1"/>
  <c r="T53" i="1" s="1"/>
  <c r="O60" i="1"/>
  <c r="Q60" i="1" s="1"/>
  <c r="T60" i="1" s="1"/>
  <c r="O56" i="1"/>
  <c r="Q56" i="1" s="1"/>
  <c r="T56" i="1" s="1"/>
  <c r="O63" i="1"/>
  <c r="Q63" i="1" s="1"/>
  <c r="T63" i="1" s="1"/>
  <c r="O64" i="1"/>
  <c r="Q64" i="1" s="1"/>
  <c r="O57" i="1"/>
  <c r="Q57" i="1" s="1"/>
  <c r="O54" i="1"/>
  <c r="Q54" i="1" s="1"/>
  <c r="T54" i="1" s="1"/>
  <c r="O61" i="1"/>
  <c r="Q61" i="1" s="1"/>
  <c r="T61" i="1" s="1"/>
  <c r="O55" i="1"/>
  <c r="Q55" i="1" s="1"/>
  <c r="T55" i="1" s="1"/>
  <c r="O62" i="1"/>
  <c r="Q62" i="1" s="1"/>
  <c r="T62" i="1" s="1"/>
  <c r="R65" i="1"/>
  <c r="R58" i="1"/>
  <c r="F3" i="2"/>
  <c r="T64" i="1" l="1"/>
  <c r="K64" i="1" s="1"/>
  <c r="T57" i="1"/>
  <c r="K57" i="1" s="1"/>
  <c r="T58" i="1"/>
  <c r="U58" i="1"/>
  <c r="T65" i="1"/>
  <c r="U65" i="1"/>
  <c r="O52" i="1"/>
  <c r="Q52" i="1" s="1"/>
  <c r="T52" i="1" s="1"/>
  <c r="O59" i="1"/>
  <c r="Q59" i="1" s="1"/>
  <c r="T59" i="1" s="1"/>
  <c r="E34" i="1"/>
  <c r="E35" i="1"/>
  <c r="E36" i="1"/>
  <c r="I36" i="1"/>
  <c r="E39" i="1"/>
  <c r="E40" i="1"/>
  <c r="E42" i="1"/>
  <c r="I42" i="1"/>
  <c r="E43" i="1"/>
  <c r="E44" i="1"/>
  <c r="I45" i="1"/>
  <c r="E47" i="1"/>
  <c r="E48" i="1"/>
  <c r="V52" i="1"/>
  <c r="X52" i="1"/>
  <c r="Y52" i="1"/>
  <c r="Z52" i="1"/>
  <c r="AA52" i="1"/>
  <c r="AB52" i="1"/>
  <c r="AD52" i="1"/>
  <c r="V53" i="1"/>
  <c r="X53" i="1"/>
  <c r="Y53" i="1"/>
  <c r="Z53" i="1"/>
  <c r="AA53" i="1"/>
  <c r="AB53" i="1"/>
  <c r="V54" i="1"/>
  <c r="X54" i="1"/>
  <c r="Y54" i="1"/>
  <c r="Z54" i="1"/>
  <c r="AA54" i="1"/>
  <c r="AB54" i="1"/>
  <c r="V55" i="1"/>
  <c r="X55" i="1"/>
  <c r="Y55" i="1"/>
  <c r="Z55" i="1"/>
  <c r="AA55" i="1"/>
  <c r="AB55" i="1"/>
  <c r="V56" i="1"/>
  <c r="X56" i="1"/>
  <c r="Y56" i="1"/>
  <c r="Z56" i="1"/>
  <c r="AA56" i="1"/>
  <c r="AB56" i="1"/>
  <c r="V57" i="1"/>
  <c r="X57" i="1"/>
  <c r="Y57" i="1"/>
  <c r="Z57" i="1"/>
  <c r="AA57" i="1"/>
  <c r="AB57" i="1"/>
  <c r="K58" i="1"/>
  <c r="V58" i="1"/>
  <c r="X58" i="1"/>
  <c r="Y58" i="1"/>
  <c r="Z58" i="1"/>
  <c r="AA58" i="1"/>
  <c r="AB58" i="1"/>
  <c r="V59" i="1"/>
  <c r="X59" i="1"/>
  <c r="Y59" i="1"/>
  <c r="Z59" i="1"/>
  <c r="AA59" i="1"/>
  <c r="AB59" i="1"/>
  <c r="AD59" i="1"/>
  <c r="V60" i="1"/>
  <c r="X60" i="1"/>
  <c r="Y60" i="1"/>
  <c r="Z60" i="1"/>
  <c r="AA60" i="1"/>
  <c r="AB60" i="1"/>
  <c r="V61" i="1"/>
  <c r="X61" i="1"/>
  <c r="Y61" i="1"/>
  <c r="Z61" i="1"/>
  <c r="AA61" i="1"/>
  <c r="AB61" i="1"/>
  <c r="V62" i="1"/>
  <c r="X62" i="1"/>
  <c r="Y62" i="1"/>
  <c r="Z62" i="1"/>
  <c r="AA62" i="1"/>
  <c r="AB62" i="1"/>
  <c r="V63" i="1"/>
  <c r="X63" i="1"/>
  <c r="Y63" i="1"/>
  <c r="Z63" i="1"/>
  <c r="AA63" i="1"/>
  <c r="AB63" i="1"/>
  <c r="V64" i="1"/>
  <c r="X64" i="1"/>
  <c r="Y64" i="1"/>
  <c r="Z64" i="1"/>
  <c r="AA64" i="1"/>
  <c r="AB64" i="1"/>
  <c r="K65" i="1"/>
  <c r="V65" i="1"/>
  <c r="X65" i="1"/>
  <c r="Y65" i="1"/>
  <c r="Z65" i="1"/>
  <c r="AA65" i="1"/>
  <c r="AB65" i="1"/>
  <c r="X67" i="1"/>
  <c r="AB67" i="1"/>
</calcChain>
</file>

<file path=xl/sharedStrings.xml><?xml version="1.0" encoding="utf-8"?>
<sst xmlns="http://schemas.openxmlformats.org/spreadsheetml/2006/main" count="172" uniqueCount="115">
  <si>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</si>
  <si>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</si>
  <si>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</si>
  <si>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</si>
  <si>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</si>
  <si>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</si>
  <si>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</si>
  <si>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</si>
  <si>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</si>
  <si>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</si>
  <si>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</si>
  <si>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</si>
  <si>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</si>
  <si>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</si>
  <si>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</si>
  <si>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</si>
  <si>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</si>
  <si>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</si>
  <si>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</si>
  <si>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</si>
  <si>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</si>
  <si>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</si>
  <si>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</si>
  <si>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</si>
  <si>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</si>
  <si>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</si>
  <si>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</si>
  <si>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</si>
  <si>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</si>
  <si>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</si>
  <si>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</si>
  <si>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</si>
  <si>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</si>
  <si>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</si>
  <si>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</si>
  <si>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</si>
  <si>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</si>
  <si>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</si>
  <si>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</si>
  <si>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</si>
  <si>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</si>
  <si>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</si>
  <si>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</si>
  <si>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</si>
  <si>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</si>
  <si>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</si>
  <si>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</si>
  <si>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</si>
  <si>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</si>
  <si>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</si>
  <si>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</si>
  <si>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</si>
  <si>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</si>
  <si>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</si>
  <si>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</si>
  <si>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</si>
  <si>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</si>
  <si>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</si>
  <si>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</si>
  <si>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</si>
  <si>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</si>
  <si>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</si>
  <si>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</si>
  <si>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</si>
  <si>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窓</t>
  </si>
  <si>
    <t>熱貫流率</t>
  </si>
  <si>
    <t>等価室温</t>
  </si>
  <si>
    <t>2室合計</t>
    <rPh sb="1" eb="2">
      <t>シツ</t>
    </rPh>
    <rPh sb="2" eb="4">
      <t>ゴウケイ</t>
    </rPh>
    <phoneticPr fontId="3"/>
  </si>
  <si>
    <t>床</t>
    <phoneticPr fontId="3"/>
  </si>
  <si>
    <t>屋根</t>
    <rPh sb="0" eb="2">
      <t>ヤネ</t>
    </rPh>
    <phoneticPr fontId="3"/>
  </si>
  <si>
    <t>熱貫流率（対流のみ）</t>
    <rPh sb="0" eb="4">
      <t>ネツカンリュウリツ</t>
    </rPh>
    <rPh sb="5" eb="7">
      <t>タイリュウ</t>
    </rPh>
    <phoneticPr fontId="3"/>
  </si>
  <si>
    <t>1F</t>
    <phoneticPr fontId="3"/>
  </si>
  <si>
    <t>2F</t>
    <phoneticPr fontId="3"/>
  </si>
  <si>
    <t>南壁</t>
    <rPh sb="0" eb="1">
      <t>ミナミ</t>
    </rPh>
    <phoneticPr fontId="3"/>
  </si>
  <si>
    <t>西壁</t>
    <rPh sb="0" eb="1">
      <t>ニシ</t>
    </rPh>
    <rPh sb="1" eb="2">
      <t>カベ</t>
    </rPh>
    <phoneticPr fontId="3"/>
  </si>
  <si>
    <t>東壁</t>
    <rPh sb="0" eb="1">
      <t>ヒガシ</t>
    </rPh>
    <rPh sb="1" eb="2">
      <t>カベ</t>
    </rPh>
    <phoneticPr fontId="3"/>
  </si>
  <si>
    <t>北壁</t>
    <rPh sb="0" eb="1">
      <t>キタ</t>
    </rPh>
    <rPh sb="1" eb="2">
      <t>カベ</t>
    </rPh>
    <phoneticPr fontId="3"/>
  </si>
  <si>
    <t>室温</t>
    <rPh sb="0" eb="2">
      <t>シツオン</t>
    </rPh>
    <phoneticPr fontId="3"/>
  </si>
  <si>
    <t>1F_room</t>
    <phoneticPr fontId="3"/>
  </si>
  <si>
    <t>2F_room</t>
    <phoneticPr fontId="3"/>
  </si>
  <si>
    <t>theta_mrt_hum</t>
    <phoneticPr fontId="3"/>
  </si>
  <si>
    <t>天井</t>
    <rPh sb="0" eb="2">
      <t>テンジョウ</t>
    </rPh>
    <phoneticPr fontId="3"/>
  </si>
  <si>
    <t>法線面直達日射</t>
    <rPh sb="0" eb="3">
      <t>ホウセンメン</t>
    </rPh>
    <rPh sb="3" eb="5">
      <t>チョクタツ</t>
    </rPh>
    <rPh sb="5" eb="7">
      <t>ニッシャ</t>
    </rPh>
    <phoneticPr fontId="3"/>
  </si>
  <si>
    <t>水平面天空日射</t>
    <rPh sb="0" eb="3">
      <t>スイヘイメン</t>
    </rPh>
    <rPh sb="3" eb="5">
      <t>テンクウ</t>
    </rPh>
    <rPh sb="5" eb="7">
      <t>ニッシャ</t>
    </rPh>
    <phoneticPr fontId="3"/>
  </si>
  <si>
    <t>W/m2</t>
    <phoneticPr fontId="3"/>
  </si>
  <si>
    <t>太陽高度</t>
    <rPh sb="0" eb="2">
      <t>タイヨウ</t>
    </rPh>
    <rPh sb="2" eb="4">
      <t>コウド</t>
    </rPh>
    <phoneticPr fontId="3"/>
  </si>
  <si>
    <t>太陽方位角</t>
    <rPh sb="0" eb="2">
      <t>タイヨウ</t>
    </rPh>
    <rPh sb="2" eb="4">
      <t>ホウイ</t>
    </rPh>
    <rPh sb="4" eb="5">
      <t>カク</t>
    </rPh>
    <phoneticPr fontId="3"/>
  </si>
  <si>
    <t>rad</t>
    <phoneticPr fontId="3"/>
  </si>
  <si>
    <t>方位角</t>
    <rPh sb="0" eb="2">
      <t>ホウイ</t>
    </rPh>
    <rPh sb="2" eb="3">
      <t>カク</t>
    </rPh>
    <phoneticPr fontId="3"/>
  </si>
  <si>
    <t>傾斜角</t>
    <rPh sb="0" eb="2">
      <t>ケイシャ</t>
    </rPh>
    <rPh sb="2" eb="3">
      <t>カク</t>
    </rPh>
    <phoneticPr fontId="3"/>
  </si>
  <si>
    <t>cosθ</t>
    <phoneticPr fontId="3"/>
  </si>
  <si>
    <t>－</t>
    <phoneticPr fontId="3"/>
  </si>
  <si>
    <t>天空に対する形態係数</t>
    <rPh sb="0" eb="2">
      <t>テンクウ</t>
    </rPh>
    <rPh sb="3" eb="4">
      <t>タイ</t>
    </rPh>
    <rPh sb="6" eb="8">
      <t>ケイタイ</t>
    </rPh>
    <rPh sb="8" eb="10">
      <t>ケイスウ</t>
    </rPh>
    <phoneticPr fontId="3"/>
  </si>
  <si>
    <t>地面に対する形態係数</t>
    <rPh sb="0" eb="2">
      <t>ジメン</t>
    </rPh>
    <rPh sb="3" eb="4">
      <t>タイ</t>
    </rPh>
    <rPh sb="6" eb="8">
      <t>ケイタイ</t>
    </rPh>
    <rPh sb="8" eb="10">
      <t>ケイスウ</t>
    </rPh>
    <phoneticPr fontId="3"/>
  </si>
  <si>
    <t>入射日射量</t>
    <rPh sb="0" eb="2">
      <t>ニュウシャ</t>
    </rPh>
    <rPh sb="2" eb="4">
      <t>ニッシャ</t>
    </rPh>
    <rPh sb="4" eb="5">
      <t>リョウ</t>
    </rPh>
    <phoneticPr fontId="3"/>
  </si>
  <si>
    <t>水平面天空日射</t>
    <rPh sb="0" eb="7">
      <t>スイヘイメンテンクウニッシャ</t>
    </rPh>
    <phoneticPr fontId="3"/>
  </si>
  <si>
    <t>地物反射率</t>
    <rPh sb="0" eb="2">
      <t>チブツ</t>
    </rPh>
    <rPh sb="2" eb="4">
      <t>ハンシャ</t>
    </rPh>
    <rPh sb="4" eb="5">
      <t>リツ</t>
    </rPh>
    <phoneticPr fontId="3"/>
  </si>
  <si>
    <t>地物反射日射</t>
    <rPh sb="0" eb="2">
      <t>チブツ</t>
    </rPh>
    <rPh sb="2" eb="4">
      <t>ハンシャ</t>
    </rPh>
    <rPh sb="4" eb="6">
      <t>ニッシャ</t>
    </rPh>
    <phoneticPr fontId="3"/>
  </si>
  <si>
    <t>直達日射透過率</t>
    <rPh sb="0" eb="2">
      <t>チョクタツ</t>
    </rPh>
    <rPh sb="2" eb="4">
      <t>ニッシャ</t>
    </rPh>
    <rPh sb="4" eb="7">
      <t>トウカリツ</t>
    </rPh>
    <phoneticPr fontId="3"/>
  </si>
  <si>
    <t>拡散日射透過率</t>
    <rPh sb="0" eb="2">
      <t>カクサン</t>
    </rPh>
    <rPh sb="2" eb="4">
      <t>ニッシャ</t>
    </rPh>
    <rPh sb="4" eb="7">
      <t>トウカリツ</t>
    </rPh>
    <phoneticPr fontId="3"/>
  </si>
  <si>
    <t>直達日射吸収日射熱取得率</t>
    <rPh sb="0" eb="2">
      <t>チョクタツ</t>
    </rPh>
    <rPh sb="2" eb="4">
      <t>ニッシャ</t>
    </rPh>
    <rPh sb="4" eb="6">
      <t>キュウシュウ</t>
    </rPh>
    <rPh sb="6" eb="8">
      <t>ニッシャ</t>
    </rPh>
    <rPh sb="8" eb="9">
      <t>ネツ</t>
    </rPh>
    <rPh sb="9" eb="11">
      <t>シュトク</t>
    </rPh>
    <rPh sb="11" eb="12">
      <t>リツ</t>
    </rPh>
    <phoneticPr fontId="3"/>
  </si>
  <si>
    <t>拡散日射吸収日射熱取得率</t>
    <rPh sb="0" eb="2">
      <t>カクサン</t>
    </rPh>
    <rPh sb="2" eb="4">
      <t>ニッシャ</t>
    </rPh>
    <rPh sb="4" eb="6">
      <t>キュウシュウ</t>
    </rPh>
    <rPh sb="6" eb="8">
      <t>ニッシャ</t>
    </rPh>
    <rPh sb="8" eb="9">
      <t>ネツ</t>
    </rPh>
    <rPh sb="9" eb="11">
      <t>シュトク</t>
    </rPh>
    <rPh sb="11" eb="12">
      <t>リツ</t>
    </rPh>
    <phoneticPr fontId="3"/>
  </si>
  <si>
    <t>吸収日射熱取得量</t>
    <rPh sb="0" eb="2">
      <t>キュウシュウ</t>
    </rPh>
    <rPh sb="2" eb="4">
      <t>ニッシャ</t>
    </rPh>
    <rPh sb="4" eb="5">
      <t>ネツ</t>
    </rPh>
    <rPh sb="5" eb="7">
      <t>シュトク</t>
    </rPh>
    <rPh sb="7" eb="8">
      <t>リョウ</t>
    </rPh>
    <phoneticPr fontId="3"/>
  </si>
  <si>
    <t>見直しが必要</t>
    <rPh sb="0" eb="2">
      <t>ミナオ</t>
    </rPh>
    <rPh sb="4" eb="6">
      <t>ヒツヨウ</t>
    </rPh>
    <phoneticPr fontId="3"/>
  </si>
  <si>
    <t>透過日射熱取得</t>
    <rPh sb="0" eb="2">
      <t>トウカ</t>
    </rPh>
    <rPh sb="2" eb="4">
      <t>ニッシャ</t>
    </rPh>
    <rPh sb="4" eb="5">
      <t>ネツ</t>
    </rPh>
    <rPh sb="5" eb="7">
      <t>シュトク</t>
    </rPh>
    <phoneticPr fontId="3"/>
  </si>
  <si>
    <t>家具コンダクタンス</t>
    <rPh sb="0" eb="2">
      <t>カグ</t>
    </rPh>
    <phoneticPr fontId="3"/>
  </si>
  <si>
    <t>家具熱容量</t>
    <rPh sb="0" eb="2">
      <t>カグ</t>
    </rPh>
    <rPh sb="2" eb="5">
      <t>ネツヨウリョウ</t>
    </rPh>
    <phoneticPr fontId="3"/>
  </si>
  <si>
    <t>W/K</t>
    <phoneticPr fontId="3"/>
  </si>
  <si>
    <t>J/K</t>
    <phoneticPr fontId="3"/>
  </si>
  <si>
    <t>温度</t>
    <rPh sb="0" eb="2">
      <t>オンド</t>
    </rPh>
    <phoneticPr fontId="3"/>
  </si>
  <si>
    <t>熱量</t>
    <rPh sb="0" eb="2">
      <t>ネツリョウ</t>
    </rPh>
    <phoneticPr fontId="3"/>
  </si>
  <si>
    <t>W</t>
    <phoneticPr fontId="3"/>
  </si>
  <si>
    <t>透過日射床分配割合</t>
    <rPh sb="0" eb="2">
      <t>トウカ</t>
    </rPh>
    <rPh sb="2" eb="3">
      <t>ヒ</t>
    </rPh>
    <rPh sb="3" eb="4">
      <t>イ</t>
    </rPh>
    <rPh sb="4" eb="5">
      <t>ユカ</t>
    </rPh>
    <rPh sb="5" eb="6">
      <t>ブ</t>
    </rPh>
    <rPh sb="6" eb="7">
      <t>クバ</t>
    </rPh>
    <rPh sb="7" eb="9">
      <t>ワリアイ</t>
    </rPh>
    <phoneticPr fontId="1"/>
  </si>
  <si>
    <t>theta_frt_is_n</t>
    <phoneticPr fontId="3"/>
  </si>
  <si>
    <t>吸収日射</t>
    <rPh sb="0" eb="2">
      <t>キュウシュウ</t>
    </rPh>
    <rPh sb="2" eb="4">
      <t>ニッシャ</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</si>
</sst>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1"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F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4" fillId="0" borderId="0">
      <alignment vertical="center"/>
    </xf>
  </cellStyleXfs>
  <cellXfs count="56">
    <xf numFmtId="0" fontId="0" fillId="0" borderId="0" xfId="0">
      <alignment vertical="center"/>
    </xf>
    <xf numFmtId="0" fontId="0" fillId="0" borderId="1" xfId="0" applyBorder="1">
      <alignment vertical="center"/>
    </xf>
    <xf numFmtId="0" fontId="0" fillId="0" borderId="1" xfId="0"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181" fontId="0" fillId="0" borderId="0" xfId="0" applyNumberFormat="1">
      <alignment vertical="center"/>
    </xf>
    <xf numFmtId="0" fontId="0" fillId="4" borderId="0" xfId="0" applyFill="1">
      <alignment vertical="center"/>
    </xf>
    <xf numFmtId="0" fontId="0" fillId="5" borderId="0" xfId="0" applyFill="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 xfId="0" applyBorder="1" applyAlignment="1">
      <alignment horizontal="center" vertical="center"/>
    </xf>
    <xf numFmtId="0" fontId="0" fillId="6" borderId="5" xfId="0" applyFill="1" applyBorder="1">
      <alignment vertical="center"/>
    </xf>
    <xf numFmtId="0" fontId="0" fillId="6" borderId="1" xfId="0" applyFill="1" applyBorder="1" applyAlignment="1">
      <alignment horizontal="center" vertical="center"/>
    </xf>
    <xf numFmtId="0" fontId="0" fillId="6" borderId="1" xfId="0" applyFill="1" applyBorder="1">
      <alignment vertical="center"/>
    </xf>
    <xf numFmtId="176" fontId="0" fillId="6" borderId="1" xfId="0" applyNumberFormat="1" applyFill="1" applyBorder="1">
      <alignment vertical="center"/>
    </xf>
    <xf numFmtId="177" fontId="0" fillId="6" borderId="1" xfId="0" applyNumberFormat="1" applyFill="1" applyBorder="1">
      <alignment vertical="center"/>
    </xf>
    <xf numFmtId="0" fontId="0" fillId="6" borderId="9" xfId="0" applyFill="1" applyBorder="1">
      <alignment vertical="center"/>
    </xf>
    <xf numFmtId="0" fontId="0" fillId="6" borderId="0" xfId="0" applyFill="1">
      <alignment vertical="center"/>
    </xf>
    <xf numFmtId="0" fontId="0" fillId="4" borderId="1" xfId="0" applyFill="1" applyBorder="1">
      <alignment vertical="center"/>
    </xf>
    <xf numFmtId="2" fontId="0" fillId="0" borderId="4" xfId="0" applyNumberFormat="1" applyBorder="1">
      <alignment vertical="center"/>
    </xf>
    <xf numFmtId="2" fontId="0" fillId="0" borderId="1" xfId="0" applyNumberFormat="1" applyBorder="1">
      <alignment vertical="center"/>
    </xf>
    <xf numFmtId="0" fontId="0" fillId="0" borderId="1" xfId="0" applyFill="1" applyBorder="1">
      <alignment vertical="center"/>
    </xf>
    <xf numFmtId="0" fontId="0" fillId="0" borderId="13" xfId="0" applyBorder="1" applyAlignment="1">
      <alignment vertical="center"/>
    </xf>
    <xf numFmtId="0" fontId="0" fillId="0" borderId="1" xfId="0" applyBorder="1" applyAlignment="1">
      <alignment horizontal="center" vertical="center" wrapText="1"/>
    </xf>
    <xf numFmtId="2" fontId="0" fillId="6" borderId="1" xfId="0" applyNumberFormat="1" applyFill="1" applyBorder="1">
      <alignment vertical="center"/>
    </xf>
    <xf numFmtId="2" fontId="0" fillId="3" borderId="7" xfId="0" applyNumberFormat="1" applyFill="1" applyBorder="1">
      <alignment vertical="center"/>
    </xf>
    <xf numFmtId="0" fontId="0" fillId="7" borderId="1" xfId="0" applyFill="1" applyBorder="1">
      <alignment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4</xdr:col>
      <xdr:colOff>910166</xdr:colOff>
      <xdr:row>68</xdr:row>
      <xdr:rowOff>211667</xdr:rowOff>
    </xdr:from>
    <xdr:to>
      <xdr:col>5</xdr:col>
      <xdr:colOff>1188212</xdr:colOff>
      <xdr:row>71</xdr:row>
      <xdr:rowOff>91263</xdr:rowOff>
    </xdr:to>
    <xdr:pic>
      <xdr:nvPicPr>
        <xdr:cNvPr id="2" name="図 1">
          <a:extLst>
            <a:ext uri="{FF2B5EF4-FFF2-40B4-BE49-F238E27FC236}">
              <a16:creationId xmlns:a16="http://schemas.microsoft.com/office/drawing/2014/main" id="{9A5E7851-20F8-5003-1E6A-4A303674A335}"/>
            </a:ext>
          </a:extLst>
        </xdr:cNvPr>
        <xdr:cNvPicPr>
          <a:picLocks noChangeAspect="1"/>
        </xdr:cNvPicPr>
      </xdr:nvPicPr>
      <xdr:blipFill>
        <a:blip xmlns:r="http://schemas.openxmlformats.org/officeDocument/2006/relationships" r:embed="rId1"/>
        <a:stretch>
          <a:fillRect/>
        </a:stretch>
      </xdr:blipFill>
      <xdr:spPr>
        <a:xfrm>
          <a:off x="4116916" y="13112750"/>
          <a:ext cx="1886713" cy="609846"/>
        </a:xfrm>
        <a:prstGeom prst="rect">
          <a:avLst/>
        </a:prstGeom>
      </xdr:spPr>
    </xdr:pic>
    <xdr:clientData/>
  </xdr:twoCellAnchor>
  <xdr:twoCellAnchor editAs="oneCell">
    <xdr:from>
      <xdr:col>3</xdr:col>
      <xdr:colOff>0</xdr:colOff>
      <xdr:row>67</xdr:row>
      <xdr:rowOff>0</xdr:rowOff>
    </xdr:from>
    <xdr:to>
      <xdr:col>6</xdr:col>
      <xdr:colOff>1214984</xdr:colOff>
      <xdr:row>68</xdr:row>
      <xdr:rowOff>109152</xdr:rowOff>
    </xdr:to>
    <xdr:pic>
      <xdr:nvPicPr>
        <xdr:cNvPr id="3" name="図 2">
          <a:extLst>
            <a:ext uri="{FF2B5EF4-FFF2-40B4-BE49-F238E27FC236}">
              <a16:creationId xmlns:a16="http://schemas.microsoft.com/office/drawing/2014/main" id="{249F7FA3-2975-7FDC-8A10-258DF2C017A0}"/>
            </a:ext>
          </a:extLst>
        </xdr:cNvPr>
        <xdr:cNvPicPr>
          <a:picLocks noChangeAspect="1"/>
        </xdr:cNvPicPr>
      </xdr:nvPicPr>
      <xdr:blipFill>
        <a:blip xmlns:r="http://schemas.openxmlformats.org/officeDocument/2006/relationships" r:embed="rId2"/>
        <a:stretch>
          <a:fillRect/>
        </a:stretch>
      </xdr:blipFill>
      <xdr:spPr>
        <a:xfrm>
          <a:off x="2370667" y="12657667"/>
          <a:ext cx="5278984" cy="352568"/>
        </a:xfrm>
        <a:prstGeom prst="rect">
          <a:avLst/>
        </a:prstGeom>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F3" sqref="F3"/>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1.1838506051324291</v>
      </c>
    </row>
    <row r="3" spans="1:8" x14ac:dyDescent="0.4">
      <c r="A3" s="6" t="str">
        <f>正解値!$B52</f>
        <v>南壁</v>
      </c>
      <c r="B3" s="10">
        <f>正解値!M52</f>
        <v>0.5</v>
      </c>
      <c r="C3" s="11">
        <f t="shared" ref="C3:C8" si="0">B3/$B$10</f>
        <v>8.3333333333333329E-2</v>
      </c>
      <c r="D3" s="12">
        <f t="shared" ref="D3:D7" si="1">0.5*(1-SIGN(1-4*C3/$H$2)*SQRT(ABS(1-4*C3/$H$2)))</f>
        <v>7.6197882003700312E-2</v>
      </c>
      <c r="E3" s="6">
        <f>正解値!$N52</f>
        <v>0.9</v>
      </c>
      <c r="F3" s="12">
        <f t="shared" ref="F3:F7" si="2">E3/(1-E3*D3)*4*0.0000000567*($H$3+273.15)^3</f>
        <v>5.5208863527334868</v>
      </c>
      <c r="G3" s="6" t="s">
        <v>11</v>
      </c>
      <c r="H3" s="6">
        <v>20</v>
      </c>
    </row>
    <row r="4" spans="1:8" x14ac:dyDescent="0.4">
      <c r="A4" s="6" t="str">
        <f>正解値!$B53</f>
        <v>西壁</v>
      </c>
      <c r="B4" s="10">
        <f>正解値!M53</f>
        <v>1</v>
      </c>
      <c r="C4" s="11">
        <f t="shared" si="0"/>
        <v>0.16666666666666666</v>
      </c>
      <c r="D4" s="12">
        <f t="shared" si="1"/>
        <v>0.16952084719864852</v>
      </c>
      <c r="E4" s="6">
        <f>正解値!$N53</f>
        <v>0.9</v>
      </c>
      <c r="F4" s="12">
        <f t="shared" si="2"/>
        <v>6.0680728569785138</v>
      </c>
    </row>
    <row r="5" spans="1:8" x14ac:dyDescent="0.4">
      <c r="A5" s="6" t="str">
        <f>正解値!$B54</f>
        <v>東壁</v>
      </c>
      <c r="B5" s="10">
        <f>正解値!M54</f>
        <v>1</v>
      </c>
      <c r="C5" s="11">
        <f t="shared" si="0"/>
        <v>0.16666666666666666</v>
      </c>
      <c r="D5" s="12">
        <f t="shared" si="1"/>
        <v>0.16952084719864852</v>
      </c>
      <c r="E5" s="6">
        <f>正解値!$N54</f>
        <v>0.9</v>
      </c>
      <c r="F5" s="12">
        <f t="shared" si="2"/>
        <v>6.0680728569785138</v>
      </c>
    </row>
    <row r="6" spans="1:8" x14ac:dyDescent="0.4">
      <c r="A6" s="24" t="s">
        <v>68</v>
      </c>
      <c r="B6" s="10">
        <f>正解値!M55</f>
        <v>1</v>
      </c>
      <c r="C6" s="11">
        <f t="shared" si="0"/>
        <v>0.16666666666666666</v>
      </c>
      <c r="D6" s="12">
        <f t="shared" si="1"/>
        <v>0.16952084719864852</v>
      </c>
      <c r="E6" s="6">
        <f>正解値!$N58</f>
        <v>0.9</v>
      </c>
      <c r="F6" s="12">
        <f t="shared" si="2"/>
        <v>6.0680728569785138</v>
      </c>
    </row>
    <row r="7" spans="1:8" x14ac:dyDescent="0.4">
      <c r="A7" s="24" t="s">
        <v>69</v>
      </c>
      <c r="B7" s="10">
        <f>正解値!M56</f>
        <v>1</v>
      </c>
      <c r="C7" s="11">
        <f t="shared" si="0"/>
        <v>0.16666666666666666</v>
      </c>
      <c r="D7" s="12">
        <f t="shared" si="1"/>
        <v>0.16952084719864852</v>
      </c>
      <c r="E7" s="6">
        <f>正解値!$N55</f>
        <v>0.9</v>
      </c>
      <c r="F7" s="12">
        <f t="shared" si="2"/>
        <v>6.0680728569785138</v>
      </c>
    </row>
    <row r="8" spans="1:8" x14ac:dyDescent="0.4">
      <c r="A8" s="15" t="s">
        <v>13</v>
      </c>
      <c r="B8" s="10">
        <f>正解値!M57</f>
        <v>0.5</v>
      </c>
      <c r="C8" s="11">
        <f t="shared" si="0"/>
        <v>8.3333333333333329E-2</v>
      </c>
      <c r="D8" s="12">
        <f>0.5*(1-SIGN(1-4*C8/$H$2)*SQRT(ABS(1-4*C8/$H$2)))</f>
        <v>7.6197882003700312E-2</v>
      </c>
      <c r="E8" s="6">
        <f>正解値!$N57</f>
        <v>0.9</v>
      </c>
      <c r="F8" s="12">
        <f>E8/(1-E8*D8)*4*0.0000000567*($H$3+273.15)^3</f>
        <v>5.5208863527334868</v>
      </c>
    </row>
    <row r="9" spans="1:8" x14ac:dyDescent="0.4">
      <c r="A9" s="15" t="s">
        <v>14</v>
      </c>
      <c r="B9" s="10">
        <f>正解値!M58</f>
        <v>1</v>
      </c>
      <c r="C9" s="11">
        <f t="shared" ref="C9" si="3">B9/$B$10</f>
        <v>0.16666666666666666</v>
      </c>
      <c r="D9" s="12">
        <f t="shared" ref="D9" si="4">0.5*(1-SIGN(1-4*C9/$H$2)*SQRT(ABS(1-4*C9/$H$2)))</f>
        <v>0.16952084719864852</v>
      </c>
      <c r="E9" s="6">
        <f>正解値!$N58</f>
        <v>0.9</v>
      </c>
      <c r="F9" s="12">
        <f t="shared" ref="F9" si="5">E9/(1-E9*D9)*4*0.0000000567*($H$3+273.15)^3</f>
        <v>6.0680728569785138</v>
      </c>
    </row>
    <row r="10" spans="1:8" x14ac:dyDescent="0.4">
      <c r="A10" s="6" t="s">
        <v>12</v>
      </c>
      <c r="B10" s="10">
        <f>SUM(B3:B9)</f>
        <v>6</v>
      </c>
      <c r="C10" s="6"/>
      <c r="D10" s="13">
        <f>SUM(D3:D9)</f>
        <v>1.0000000000006433</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AD83"/>
  <sheetViews>
    <sheetView showGridLines="0" tabSelected="1" topLeftCell="A32" zoomScale="90" zoomScaleNormal="90" workbookViewId="0">
      <pane xSplit="2" topLeftCell="F1" activePane="topRight" state="frozen"/>
      <selection pane="topRight" activeCell="I45" sqref="I45"/>
    </sheetView>
  </sheetViews>
  <sheetFormatPr defaultRowHeight="18.75" x14ac:dyDescent="0.4"/>
  <cols>
    <col min="2" max="2" width="9" bestFit="1" customWidth="1"/>
    <col min="3" max="3" width="15.125" bestFit="1" customWidth="1"/>
    <col min="4" max="4" width="11" bestFit="1" customWidth="1"/>
    <col min="5" max="5" width="21.125" bestFit="1" customWidth="1"/>
    <col min="6" max="7" width="21.25" bestFit="1" customWidth="1"/>
    <col min="8" max="8" width="12.75" bestFit="1" customWidth="1"/>
    <col min="9" max="9" width="17.125" customWidth="1"/>
    <col min="10" max="10" width="15.125" bestFit="1" customWidth="1"/>
    <col min="11" max="11" width="13.75" bestFit="1" customWidth="1"/>
    <col min="12" max="12" width="11" bestFit="1" customWidth="1"/>
    <col min="13" max="13" width="5.25" bestFit="1" customWidth="1"/>
    <col min="14" max="14" width="7.125" bestFit="1" customWidth="1"/>
    <col min="15" max="15" width="11.125" bestFit="1" customWidth="1"/>
    <col min="16" max="16" width="13" bestFit="1" customWidth="1"/>
    <col min="17"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16.25" customWidth="1"/>
    <col min="24" max="24" width="21.375" bestFit="1" customWidth="1"/>
    <col min="25" max="25" width="25.5" bestFit="1" customWidth="1"/>
    <col min="26" max="26" width="14.125" customWidth="1"/>
    <col min="27" max="27" width="17.25" bestFit="1" customWidth="1"/>
    <col min="28" max="28" width="19.625" customWidth="1"/>
  </cols>
  <sheetData>
    <row r="1" spans="1:1" x14ac:dyDescent="0.4">
      <c r="A1" t="s">
        <v>16</v>
      </c>
    </row>
    <row r="2" spans="1:1" x14ac:dyDescent="0.4">
      <c r="A2" t="s">
        <v>17</v>
      </c>
    </row>
    <row r="3" spans="1:1" x14ac:dyDescent="0.4">
      <c r="A3" t="s">
        <v>18</v>
      </c>
    </row>
    <row r="4" spans="1:1" x14ac:dyDescent="0.4">
      <c r="A4" t="s">
        <v>19</v>
      </c>
    </row>
    <row r="6" spans="1:1" x14ac:dyDescent="0.4">
      <c r="A6" t="s">
        <v>20</v>
      </c>
    </row>
    <row r="7" spans="1:1" x14ac:dyDescent="0.4">
      <c r="A7" t="s">
        <v>21</v>
      </c>
    </row>
    <row r="8" spans="1:1" x14ac:dyDescent="0.4">
      <c r="A8" t="s">
        <v>22</v>
      </c>
    </row>
    <row r="9" spans="1:1" x14ac:dyDescent="0.4">
      <c r="A9" t="s">
        <v>23</v>
      </c>
    </row>
    <row r="10" spans="1:1" x14ac:dyDescent="0.4">
      <c r="A10" t="s">
        <v>24</v>
      </c>
    </row>
    <row r="11" spans="1:1" x14ac:dyDescent="0.4">
      <c r="A11" t="s">
        <v>25</v>
      </c>
    </row>
    <row r="12" spans="1:1" x14ac:dyDescent="0.4">
      <c r="A12" t="s">
        <v>26</v>
      </c>
    </row>
    <row r="13" spans="1:1" x14ac:dyDescent="0.4">
      <c r="A13" t="s">
        <v>27</v>
      </c>
    </row>
    <row r="15" spans="1:1" x14ac:dyDescent="0.4">
      <c r="A15" t="s">
        <v>28</v>
      </c>
    </row>
    <row r="16" spans="1:1" x14ac:dyDescent="0.4">
      <c r="A16" t="s">
        <v>29</v>
      </c>
    </row>
    <row r="18" spans="1:7" x14ac:dyDescent="0.4">
      <c r="A18" s="39" t="s">
        <v>30</v>
      </c>
      <c r="B18" s="39"/>
      <c r="C18" s="39"/>
      <c r="D18" s="2"/>
      <c r="E18" s="2" t="s">
        <v>31</v>
      </c>
      <c r="F18" s="2" t="s">
        <v>32</v>
      </c>
      <c r="G18" s="2" t="s">
        <v>33</v>
      </c>
    </row>
    <row r="19" spans="1:7" x14ac:dyDescent="0.4">
      <c r="A19" s="14" t="s">
        <v>34</v>
      </c>
      <c r="B19" s="14" t="s">
        <v>35</v>
      </c>
      <c r="C19" s="1" t="s">
        <v>36</v>
      </c>
      <c r="D19" s="1"/>
      <c r="E19" s="1">
        <v>0</v>
      </c>
      <c r="F19" s="2" t="s">
        <v>0</v>
      </c>
      <c r="G19" s="1"/>
    </row>
    <row r="20" spans="1:7" x14ac:dyDescent="0.4">
      <c r="A20" s="37"/>
      <c r="B20" s="37"/>
      <c r="C20" s="1" t="s">
        <v>82</v>
      </c>
      <c r="D20" s="1"/>
      <c r="E20" s="1">
        <v>700</v>
      </c>
      <c r="F20" s="2" t="s">
        <v>84</v>
      </c>
      <c r="G20" s="1"/>
    </row>
    <row r="21" spans="1:7" x14ac:dyDescent="0.4">
      <c r="A21" s="37"/>
      <c r="B21" s="37"/>
      <c r="C21" s="1" t="s">
        <v>83</v>
      </c>
      <c r="D21" s="1"/>
      <c r="E21" s="1">
        <v>200</v>
      </c>
      <c r="F21" s="2" t="s">
        <v>84</v>
      </c>
      <c r="G21" s="1"/>
    </row>
    <row r="22" spans="1:7" x14ac:dyDescent="0.4">
      <c r="A22" s="37"/>
      <c r="B22" s="37"/>
      <c r="C22" s="1" t="s">
        <v>85</v>
      </c>
      <c r="D22" s="1">
        <v>30</v>
      </c>
      <c r="E22" s="1">
        <f>RADIANS(D22)</f>
        <v>0.52359877559829882</v>
      </c>
      <c r="F22" s="2" t="s">
        <v>87</v>
      </c>
      <c r="G22" s="1"/>
    </row>
    <row r="23" spans="1:7" x14ac:dyDescent="0.4">
      <c r="A23" s="37"/>
      <c r="B23" s="37"/>
      <c r="C23" s="1" t="s">
        <v>86</v>
      </c>
      <c r="D23" s="1">
        <v>-15</v>
      </c>
      <c r="E23" s="1">
        <f>RADIANS(D23)</f>
        <v>-0.26179938779914941</v>
      </c>
      <c r="F23" s="2" t="s">
        <v>87</v>
      </c>
      <c r="G23" s="1"/>
    </row>
    <row r="24" spans="1:7" x14ac:dyDescent="0.4">
      <c r="A24" s="37"/>
      <c r="B24" s="37"/>
      <c r="C24" s="1" t="s">
        <v>95</v>
      </c>
      <c r="D24" s="1"/>
      <c r="E24" s="1">
        <f>E20*SIN(E22)+E21</f>
        <v>550</v>
      </c>
      <c r="F24" s="2" t="s">
        <v>84</v>
      </c>
      <c r="G24" s="1"/>
    </row>
    <row r="25" spans="1:7" x14ac:dyDescent="0.4">
      <c r="A25" s="37"/>
      <c r="B25" s="37"/>
      <c r="C25" s="1" t="s">
        <v>96</v>
      </c>
      <c r="D25" s="1"/>
      <c r="E25" s="1">
        <v>0.1</v>
      </c>
      <c r="F25" s="2" t="s">
        <v>91</v>
      </c>
      <c r="G25" s="1"/>
    </row>
    <row r="26" spans="1:7" x14ac:dyDescent="0.4">
      <c r="A26" s="37"/>
      <c r="B26" s="38"/>
      <c r="C26" s="1" t="s">
        <v>97</v>
      </c>
      <c r="D26" s="1"/>
      <c r="E26" s="1">
        <f>E24*E25</f>
        <v>55</v>
      </c>
      <c r="F26" s="2" t="s">
        <v>84</v>
      </c>
      <c r="G26" s="1"/>
    </row>
    <row r="27" spans="1:7" x14ac:dyDescent="0.4">
      <c r="A27" s="37"/>
      <c r="B27" s="14" t="s">
        <v>37</v>
      </c>
      <c r="C27" s="1" t="s">
        <v>38</v>
      </c>
      <c r="D27" s="1"/>
      <c r="E27" s="1">
        <f>SUMPRODUCT(L52:L57,M52:M57,U52:U57)+SUMPRODUCT(L59:L64,M59:M64,U59:U64)</f>
        <v>5.3295510771480323</v>
      </c>
      <c r="F27" s="2" t="s">
        <v>39</v>
      </c>
      <c r="G27" s="1" t="s">
        <v>67</v>
      </c>
    </row>
    <row r="28" spans="1:7" x14ac:dyDescent="0.4">
      <c r="A28" s="37"/>
      <c r="B28" s="37"/>
      <c r="C28" s="1" t="s">
        <v>98</v>
      </c>
      <c r="D28" s="1"/>
      <c r="E28" s="1">
        <v>0.82473876410859903</v>
      </c>
      <c r="F28" s="2" t="s">
        <v>91</v>
      </c>
      <c r="G28" s="1"/>
    </row>
    <row r="29" spans="1:7" x14ac:dyDescent="0.4">
      <c r="A29" s="37"/>
      <c r="B29" s="37"/>
      <c r="C29" s="1" t="s">
        <v>99</v>
      </c>
      <c r="D29" s="1"/>
      <c r="E29" s="1">
        <v>0.71161013710588705</v>
      </c>
      <c r="F29" s="2" t="s">
        <v>91</v>
      </c>
      <c r="G29" s="1"/>
    </row>
    <row r="30" spans="1:7" x14ac:dyDescent="0.4">
      <c r="A30" s="37"/>
      <c r="B30" s="37"/>
      <c r="C30" s="1" t="s">
        <v>100</v>
      </c>
      <c r="D30" s="1"/>
      <c r="E30" s="47">
        <v>-5.2435981209318999E-2</v>
      </c>
      <c r="F30" s="2" t="s">
        <v>91</v>
      </c>
      <c r="G30" s="1" t="s">
        <v>103</v>
      </c>
    </row>
    <row r="31" spans="1:7" x14ac:dyDescent="0.4">
      <c r="A31" s="37"/>
      <c r="B31" s="37"/>
      <c r="C31" s="1" t="s">
        <v>101</v>
      </c>
      <c r="D31" s="1"/>
      <c r="E31" s="47">
        <v>-3.2157008046334798E-2</v>
      </c>
      <c r="F31" s="2" t="s">
        <v>91</v>
      </c>
      <c r="G31" s="1"/>
    </row>
    <row r="32" spans="1:7" x14ac:dyDescent="0.4">
      <c r="A32" s="38"/>
      <c r="B32" s="38"/>
      <c r="C32" s="1" t="s">
        <v>112</v>
      </c>
      <c r="D32" s="1"/>
      <c r="E32" s="50">
        <v>0.5</v>
      </c>
      <c r="F32" s="2"/>
      <c r="G32" s="1"/>
    </row>
    <row r="33" spans="1:9" x14ac:dyDescent="0.4">
      <c r="A33" s="39" t="s">
        <v>42</v>
      </c>
      <c r="B33" s="52" t="s">
        <v>78</v>
      </c>
      <c r="C33" s="1" t="s">
        <v>40</v>
      </c>
      <c r="D33" s="1"/>
      <c r="E33" s="1">
        <v>100</v>
      </c>
      <c r="F33" s="2" t="s">
        <v>41</v>
      </c>
      <c r="G33" s="1"/>
    </row>
    <row r="34" spans="1:9" x14ac:dyDescent="0.4">
      <c r="A34" s="39"/>
      <c r="B34" s="52"/>
      <c r="C34" s="1" t="s">
        <v>43</v>
      </c>
      <c r="D34" s="1"/>
      <c r="E34" s="1">
        <f ca="1">SUMPRODUCT(M52:M58,Y52:Y58)</f>
        <v>243.4163720579981</v>
      </c>
      <c r="F34" s="2" t="s">
        <v>41</v>
      </c>
      <c r="G34" s="1"/>
    </row>
    <row r="35" spans="1:9" x14ac:dyDescent="0.4">
      <c r="A35" s="39"/>
      <c r="B35" s="52"/>
      <c r="C35" s="1" t="s">
        <v>44</v>
      </c>
      <c r="D35" s="1"/>
      <c r="E35" s="4">
        <f ca="1">$E$35+($E$33-$E$34-E40)/100</f>
        <v>108.55033783240525</v>
      </c>
      <c r="F35" s="2" t="s">
        <v>0</v>
      </c>
      <c r="G35" s="1"/>
      <c r="I35" t="s">
        <v>77</v>
      </c>
    </row>
    <row r="36" spans="1:9" x14ac:dyDescent="0.4">
      <c r="A36" s="39"/>
      <c r="B36" s="52"/>
      <c r="C36" s="1" t="s">
        <v>45</v>
      </c>
      <c r="D36" s="1"/>
      <c r="E36" s="1">
        <f ca="1">SUMPRODUCT($O$52:$O$58,$M$52:$M$58,$V$52:$V$58)/SUMPRODUCT($O$52:$O$58,$M$52:$M$58)</f>
        <v>94.949403199948932</v>
      </c>
      <c r="F36" s="2" t="s">
        <v>0</v>
      </c>
      <c r="G36" s="1"/>
      <c r="I36" t="str">
        <f ca="1">_xlfn.TEXTJOIN(", ",TRUE,E35,E43)</f>
        <v>108.550337832405, 92.6510589086655</v>
      </c>
    </row>
    <row r="37" spans="1:9" x14ac:dyDescent="0.4">
      <c r="A37" s="39"/>
      <c r="B37" s="52"/>
      <c r="C37" s="1" t="s">
        <v>105</v>
      </c>
      <c r="D37" s="1"/>
      <c r="E37" s="1">
        <v>2.7719999999999998</v>
      </c>
      <c r="F37" s="2" t="s">
        <v>107</v>
      </c>
      <c r="G37" s="1"/>
    </row>
    <row r="38" spans="1:9" x14ac:dyDescent="0.4">
      <c r="A38" s="39"/>
      <c r="B38" s="52"/>
      <c r="C38" s="1" t="s">
        <v>106</v>
      </c>
      <c r="D38" s="1"/>
      <c r="E38" s="1">
        <v>12600</v>
      </c>
      <c r="F38" s="2" t="s">
        <v>108</v>
      </c>
      <c r="G38" s="1"/>
    </row>
    <row r="39" spans="1:9" x14ac:dyDescent="0.4">
      <c r="A39" s="39"/>
      <c r="B39" s="52"/>
      <c r="C39" s="1" t="s">
        <v>109</v>
      </c>
      <c r="D39" s="1"/>
      <c r="E39" s="1">
        <f ca="1">E35+$J$57*(1-$E$32)/E37</f>
        <v>160.28784578983579</v>
      </c>
      <c r="F39" s="2" t="s">
        <v>0</v>
      </c>
      <c r="G39" s="1"/>
    </row>
    <row r="40" spans="1:9" x14ac:dyDescent="0.4">
      <c r="A40" s="39"/>
      <c r="B40" s="52"/>
      <c r="C40" s="1" t="s">
        <v>110</v>
      </c>
      <c r="D40" s="1"/>
      <c r="E40" s="1">
        <f ca="1">E37*(E35-E39)</f>
        <v>-143.41637205799745</v>
      </c>
      <c r="F40" s="2" t="s">
        <v>111</v>
      </c>
      <c r="G40" s="1"/>
    </row>
    <row r="41" spans="1:9" x14ac:dyDescent="0.4">
      <c r="A41" s="39"/>
      <c r="B41" s="39" t="s">
        <v>79</v>
      </c>
      <c r="C41" s="1" t="s">
        <v>40</v>
      </c>
      <c r="D41" s="1"/>
      <c r="E41" s="1">
        <v>50</v>
      </c>
      <c r="F41" s="2" t="s">
        <v>41</v>
      </c>
      <c r="G41" s="1"/>
      <c r="I41" t="s">
        <v>80</v>
      </c>
    </row>
    <row r="42" spans="1:9" x14ac:dyDescent="0.4">
      <c r="A42" s="39"/>
      <c r="B42" s="39"/>
      <c r="C42" s="1" t="s">
        <v>43</v>
      </c>
      <c r="D42" s="1"/>
      <c r="E42" s="1">
        <f ca="1">SUMPRODUCT(M59:M65,Y59:Y65)</f>
        <v>193.41637205799819</v>
      </c>
      <c r="F42" s="2" t="s">
        <v>41</v>
      </c>
      <c r="G42" s="1"/>
      <c r="I42" t="str">
        <f ca="1">_xlfn.TEXTJOIN(", ",TRUE,AD52,AD59)</f>
        <v>100.246422372278, 88.2693268710826</v>
      </c>
    </row>
    <row r="43" spans="1:9" x14ac:dyDescent="0.4">
      <c r="A43" s="39"/>
      <c r="B43" s="39"/>
      <c r="C43" s="1" t="s">
        <v>44</v>
      </c>
      <c r="D43" s="1"/>
      <c r="E43" s="4">
        <f ca="1">$E$43+(E41-$E$42-E48)/100</f>
        <v>92.651058908665476</v>
      </c>
      <c r="F43" s="2" t="s">
        <v>0</v>
      </c>
      <c r="G43" s="1"/>
    </row>
    <row r="44" spans="1:9" x14ac:dyDescent="0.4">
      <c r="A44" s="39"/>
      <c r="B44" s="39"/>
      <c r="C44" s="1" t="s">
        <v>45</v>
      </c>
      <c r="D44" s="1"/>
      <c r="E44" s="1">
        <f ca="1">SUMPRODUCT($O$59:$O$65,$M$59:$M$65,$V$59:$V$65)/SUMPRODUCT($O$59:$O$65,$M$59:$M$65)</f>
        <v>82.019208816843118</v>
      </c>
      <c r="F44" s="2" t="s">
        <v>0</v>
      </c>
      <c r="G44" s="1"/>
      <c r="I44" t="s">
        <v>113</v>
      </c>
    </row>
    <row r="45" spans="1:9" x14ac:dyDescent="0.4">
      <c r="A45" s="39"/>
      <c r="B45" s="39"/>
      <c r="C45" s="1" t="s">
        <v>105</v>
      </c>
      <c r="D45" s="1"/>
      <c r="E45" s="1">
        <v>2.7719999999999998</v>
      </c>
      <c r="F45" s="2" t="s">
        <v>107</v>
      </c>
      <c r="G45" s="1"/>
      <c r="I45" t="str">
        <f ca="1">_xlfn.TEXTJOIN(", ",TRUE,E39,E47)</f>
        <v>160.287845789836, 144.388566866096</v>
      </c>
    </row>
    <row r="46" spans="1:9" x14ac:dyDescent="0.4">
      <c r="A46" s="39"/>
      <c r="B46" s="39"/>
      <c r="C46" s="1" t="s">
        <v>106</v>
      </c>
      <c r="D46" s="1"/>
      <c r="E46" s="1">
        <v>12600</v>
      </c>
      <c r="F46" s="2" t="s">
        <v>108</v>
      </c>
      <c r="G46" s="1"/>
    </row>
    <row r="47" spans="1:9" x14ac:dyDescent="0.4">
      <c r="A47" s="39"/>
      <c r="B47" s="39"/>
      <c r="C47" s="1" t="s">
        <v>109</v>
      </c>
      <c r="D47" s="1"/>
      <c r="E47" s="1">
        <f ca="1">E43+$J$64*(1-$E$32)/E45</f>
        <v>144.38856686609603</v>
      </c>
      <c r="F47" s="2" t="s">
        <v>0</v>
      </c>
      <c r="G47" s="1"/>
    </row>
    <row r="48" spans="1:9" x14ac:dyDescent="0.4">
      <c r="A48" s="39"/>
      <c r="B48" s="39"/>
      <c r="C48" s="1" t="s">
        <v>110</v>
      </c>
      <c r="D48" s="1"/>
      <c r="E48" s="1">
        <f ca="1">E45*(E43-E47)</f>
        <v>-143.41637205799748</v>
      </c>
      <c r="F48" s="2" t="s">
        <v>111</v>
      </c>
      <c r="G48" s="1"/>
    </row>
    <row r="49" spans="1:30" x14ac:dyDescent="0.4">
      <c r="B49" s="51"/>
    </row>
    <row r="50" spans="1:30" x14ac:dyDescent="0.4">
      <c r="A50" s="1"/>
      <c r="B50" s="1"/>
      <c r="C50" s="1" t="s">
        <v>88</v>
      </c>
      <c r="D50" s="1" t="s">
        <v>89</v>
      </c>
      <c r="E50" s="1" t="s">
        <v>90</v>
      </c>
      <c r="F50" s="1" t="s">
        <v>92</v>
      </c>
      <c r="G50" s="1" t="s">
        <v>93</v>
      </c>
      <c r="H50" s="1" t="s">
        <v>94</v>
      </c>
      <c r="I50" s="1" t="s">
        <v>102</v>
      </c>
      <c r="J50" s="1" t="s">
        <v>104</v>
      </c>
      <c r="K50" s="2" t="s">
        <v>46</v>
      </c>
      <c r="L50" s="2" t="s">
        <v>47</v>
      </c>
      <c r="M50" s="2" t="s">
        <v>48</v>
      </c>
      <c r="N50" s="2" t="s">
        <v>49</v>
      </c>
      <c r="O50" s="2" t="s">
        <v>50</v>
      </c>
      <c r="P50" s="2" t="s">
        <v>51</v>
      </c>
      <c r="Q50" s="2" t="s">
        <v>52</v>
      </c>
      <c r="R50" s="2" t="s">
        <v>53</v>
      </c>
      <c r="S50" s="2" t="s">
        <v>54</v>
      </c>
      <c r="T50" s="2" t="s">
        <v>65</v>
      </c>
      <c r="U50" s="2" t="s">
        <v>70</v>
      </c>
      <c r="V50" s="2" t="s">
        <v>55</v>
      </c>
      <c r="W50" s="2" t="s">
        <v>114</v>
      </c>
      <c r="X50" s="2" t="s">
        <v>66</v>
      </c>
      <c r="Y50" s="2" t="s">
        <v>56</v>
      </c>
      <c r="Z50" s="2" t="s">
        <v>57</v>
      </c>
      <c r="AA50" s="2" t="s">
        <v>57</v>
      </c>
      <c r="AB50" s="2" t="s">
        <v>58</v>
      </c>
      <c r="AC50" s="2" t="s">
        <v>59</v>
      </c>
      <c r="AD50" s="2" t="s">
        <v>60</v>
      </c>
    </row>
    <row r="51" spans="1:30" ht="19.5" thickBot="1" x14ac:dyDescent="0.45">
      <c r="A51" s="16"/>
      <c r="B51" s="16"/>
      <c r="C51" s="16" t="s">
        <v>87</v>
      </c>
      <c r="D51" s="16" t="s">
        <v>87</v>
      </c>
      <c r="E51" s="16" t="s">
        <v>91</v>
      </c>
      <c r="F51" s="16" t="s">
        <v>91</v>
      </c>
      <c r="G51" s="16" t="s">
        <v>91</v>
      </c>
      <c r="H51" s="16" t="s">
        <v>84</v>
      </c>
      <c r="I51" s="16" t="s">
        <v>84</v>
      </c>
      <c r="J51" s="16" t="s">
        <v>111</v>
      </c>
      <c r="K51" s="14" t="s">
        <v>0</v>
      </c>
      <c r="L51" s="14" t="s">
        <v>61</v>
      </c>
      <c r="M51" s="14" t="s">
        <v>3</v>
      </c>
      <c r="N51" s="14" t="s">
        <v>62</v>
      </c>
      <c r="O51" s="14" t="s">
        <v>2</v>
      </c>
      <c r="P51" s="14" t="s">
        <v>2</v>
      </c>
      <c r="Q51" s="14" t="s">
        <v>1</v>
      </c>
      <c r="R51" s="14" t="s">
        <v>1</v>
      </c>
      <c r="S51" s="14" t="s">
        <v>1</v>
      </c>
      <c r="T51" s="14" t="s">
        <v>2</v>
      </c>
      <c r="U51" s="14" t="s">
        <v>2</v>
      </c>
      <c r="V51" s="14" t="s">
        <v>0</v>
      </c>
      <c r="W51" s="14" t="s">
        <v>84</v>
      </c>
      <c r="X51" s="14" t="s">
        <v>0</v>
      </c>
      <c r="Y51" s="14" t="s">
        <v>63</v>
      </c>
      <c r="Z51" s="14" t="s">
        <v>63</v>
      </c>
      <c r="AA51" s="14" t="s">
        <v>41</v>
      </c>
      <c r="AB51" s="14" t="s">
        <v>63</v>
      </c>
      <c r="AC51" s="16"/>
      <c r="AD51" s="14" t="s">
        <v>0</v>
      </c>
    </row>
    <row r="52" spans="1:30" x14ac:dyDescent="0.4">
      <c r="A52" s="17" t="s">
        <v>71</v>
      </c>
      <c r="B52" s="18" t="s">
        <v>73</v>
      </c>
      <c r="C52" s="18">
        <f>RADIANS(0)</f>
        <v>0</v>
      </c>
      <c r="D52" s="18">
        <f t="shared" ref="D52:D64" si="0">RADIANS(90)</f>
        <v>1.5707963267948966</v>
      </c>
      <c r="E52" s="18">
        <f t="shared" ref="E52:E64" si="1">MAX(SIN($E$22)*COS(D52)+COS($E$22)*SIN(D52)*COS($E$23-C52),0)</f>
        <v>0.83651630373780794</v>
      </c>
      <c r="F52" s="18">
        <f t="shared" ref="F52:F64" si="2">(1+COS(D52))/2</f>
        <v>0.5</v>
      </c>
      <c r="G52" s="18">
        <f t="shared" ref="G52:G57" si="3">1-F52</f>
        <v>0.5</v>
      </c>
      <c r="H52" s="18">
        <f t="shared" ref="H52:H64" si="4">$E$20*E52+$E$21*F52+$E$26*G52</f>
        <v>713.06141261646553</v>
      </c>
      <c r="I52" s="18">
        <v>0</v>
      </c>
      <c r="J52" s="18">
        <v>0</v>
      </c>
      <c r="K52" s="48">
        <f t="shared" ref="K52:K56" si="5">$E$19+H52*0.8*R52</f>
        <v>22.817965203726899</v>
      </c>
      <c r="L52" s="19">
        <v>1</v>
      </c>
      <c r="M52" s="19">
        <v>0.5</v>
      </c>
      <c r="N52" s="19">
        <v>0.9</v>
      </c>
      <c r="O52" s="19">
        <f>熱伝達率!F3</f>
        <v>5.5208863527334868</v>
      </c>
      <c r="P52" s="19">
        <v>2.5</v>
      </c>
      <c r="Q52" s="19">
        <f t="shared" ref="Q52:Q63" si="6">1/SUM(O52:P52)</f>
        <v>0.12467450055057865</v>
      </c>
      <c r="R52" s="19">
        <v>0.04</v>
      </c>
      <c r="S52" s="19">
        <f t="shared" ref="S52:S56" si="7">0.075+2.77777777777777</f>
        <v>2.8527777777777703</v>
      </c>
      <c r="T52" s="19">
        <f t="shared" ref="T52:T64" si="8">1/(Q52+$S52+$R52)</f>
        <v>0.33140540686661474</v>
      </c>
      <c r="U52" s="19">
        <f t="shared" ref="U52:U65" si="9">1/(1/P52+R52+S52)</f>
        <v>0.30369495528935447</v>
      </c>
      <c r="V52" s="20">
        <f t="shared" ref="V52:V65" ca="1" si="10">X52-Q52/SUM(Q52:S52)*L52*(X52-K52)</f>
        <v>96.033159505387232</v>
      </c>
      <c r="W52" s="20">
        <v>0</v>
      </c>
      <c r="X52" s="19">
        <f t="shared" ref="X52:X65" ca="1" si="11">($E$35*$P52+$E$36*$O52)/SUM($P52,$O52)+W52/SUM(O52:P52)</f>
        <v>99.188627530755312</v>
      </c>
      <c r="Y52" s="19">
        <f ca="1">($E$35-$V52)*$P52</f>
        <v>31.292945817545039</v>
      </c>
      <c r="Z52" s="19">
        <f ca="1">($E$36-$V52)*$O52</f>
        <v>-5.9832953963831734</v>
      </c>
      <c r="AA52" s="19">
        <f t="shared" ref="AA52:AA63" ca="1" si="12">Z52*M52</f>
        <v>-2.9916476981915867</v>
      </c>
      <c r="AB52" s="21">
        <f t="shared" ref="AB52:AB65" ca="1" si="13">SUM($Y52,$Z52)+W52</f>
        <v>25.309650421161866</v>
      </c>
      <c r="AC52" s="19">
        <f t="shared" ref="AC52:AC55" si="14">(1-$AC$56)*M52/SUM($M$52:$M$54,$M$56:$M$58)</f>
        <v>5.5000000000000007E-2</v>
      </c>
      <c r="AD52" s="25">
        <f ca="1">SUMPRODUCT(V52:V58,AC52:AC58)</f>
        <v>100.24642237227802</v>
      </c>
    </row>
    <row r="53" spans="1:30" x14ac:dyDescent="0.4">
      <c r="A53" s="22"/>
      <c r="B53" s="2" t="s">
        <v>74</v>
      </c>
      <c r="C53" s="2">
        <f>RADIANS(90)</f>
        <v>1.5707963267948966</v>
      </c>
      <c r="D53" s="2">
        <f t="shared" si="0"/>
        <v>1.5707963267948966</v>
      </c>
      <c r="E53" s="2">
        <f t="shared" si="1"/>
        <v>0</v>
      </c>
      <c r="F53" s="2">
        <f t="shared" si="2"/>
        <v>0.5</v>
      </c>
      <c r="G53" s="2">
        <f t="shared" si="3"/>
        <v>0.5</v>
      </c>
      <c r="H53" s="2">
        <f t="shared" si="4"/>
        <v>127.5</v>
      </c>
      <c r="I53" s="2">
        <v>0</v>
      </c>
      <c r="J53" s="2">
        <v>0</v>
      </c>
      <c r="K53" s="49">
        <f t="shared" si="5"/>
        <v>4.08</v>
      </c>
      <c r="L53" s="1">
        <v>1</v>
      </c>
      <c r="M53" s="1">
        <v>1</v>
      </c>
      <c r="N53" s="1">
        <v>0.9</v>
      </c>
      <c r="O53" s="1">
        <f>熱伝達率!F4</f>
        <v>6.0680728569785138</v>
      </c>
      <c r="P53" s="1">
        <v>2.5</v>
      </c>
      <c r="Q53" s="1">
        <f t="shared" si="6"/>
        <v>0.11671235955767127</v>
      </c>
      <c r="R53" s="1">
        <v>0.04</v>
      </c>
      <c r="S53" s="1">
        <f t="shared" si="7"/>
        <v>2.8527777777777703</v>
      </c>
      <c r="T53" s="1">
        <f t="shared" si="8"/>
        <v>0.3322821987665277</v>
      </c>
      <c r="U53" s="1">
        <f t="shared" si="9"/>
        <v>0.30369495528935447</v>
      </c>
      <c r="V53" s="5">
        <f t="shared" ca="1" si="10"/>
        <v>95.239946005699267</v>
      </c>
      <c r="W53" s="5">
        <v>0</v>
      </c>
      <c r="X53" s="1">
        <f t="shared" ca="1" si="11"/>
        <v>98.917896132807996</v>
      </c>
      <c r="Y53" s="1">
        <f ca="1">($E$35-$V53)*$P53</f>
        <v>33.275979566764953</v>
      </c>
      <c r="Z53" s="1">
        <f ca="1">($E$36-$V53)*$O53</f>
        <v>-1.7630349133639844</v>
      </c>
      <c r="AA53" s="1">
        <f t="shared" ca="1" si="12"/>
        <v>-1.7630349133639844</v>
      </c>
      <c r="AB53" s="3">
        <f t="shared" ca="1" si="13"/>
        <v>31.512944653400968</v>
      </c>
      <c r="AC53" s="1">
        <f t="shared" si="14"/>
        <v>0.11000000000000001</v>
      </c>
      <c r="AD53" s="26"/>
    </row>
    <row r="54" spans="1:30" x14ac:dyDescent="0.4">
      <c r="A54" s="22"/>
      <c r="B54" s="2" t="s">
        <v>75</v>
      </c>
      <c r="C54" s="2">
        <f>RADIANS(-90)</f>
        <v>-1.5707963267948966</v>
      </c>
      <c r="D54" s="2">
        <f t="shared" si="0"/>
        <v>1.5707963267948966</v>
      </c>
      <c r="E54" s="2">
        <f t="shared" si="1"/>
        <v>0.22414386804201342</v>
      </c>
      <c r="F54" s="2">
        <f t="shared" si="2"/>
        <v>0.5</v>
      </c>
      <c r="G54" s="2">
        <f t="shared" si="3"/>
        <v>0.5</v>
      </c>
      <c r="H54" s="2">
        <f t="shared" si="4"/>
        <v>284.4007076294094</v>
      </c>
      <c r="I54" s="2">
        <v>0</v>
      </c>
      <c r="J54" s="2">
        <v>0</v>
      </c>
      <c r="K54" s="49">
        <f t="shared" si="5"/>
        <v>9.1008226441411022</v>
      </c>
      <c r="L54" s="1">
        <v>1</v>
      </c>
      <c r="M54" s="1">
        <v>1</v>
      </c>
      <c r="N54" s="1">
        <v>0.9</v>
      </c>
      <c r="O54" s="1">
        <f>熱伝達率!F5</f>
        <v>6.0680728569785138</v>
      </c>
      <c r="P54" s="1">
        <v>2.5</v>
      </c>
      <c r="Q54" s="1">
        <f t="shared" si="6"/>
        <v>0.11671235955767127</v>
      </c>
      <c r="R54" s="1">
        <v>0.04</v>
      </c>
      <c r="S54" s="1">
        <f t="shared" si="7"/>
        <v>2.8527777777777703</v>
      </c>
      <c r="T54" s="1">
        <f t="shared" si="8"/>
        <v>0.3322821987665277</v>
      </c>
      <c r="U54" s="1">
        <f t="shared" si="9"/>
        <v>0.30369495528935447</v>
      </c>
      <c r="V54" s="5">
        <f t="shared" ca="1" si="10"/>
        <v>95.434660735097623</v>
      </c>
      <c r="W54" s="5">
        <v>0</v>
      </c>
      <c r="X54" s="1">
        <f t="shared" ca="1" si="11"/>
        <v>98.917896132807996</v>
      </c>
      <c r="Y54" s="1">
        <f ca="1">($E$35-$V54)*$P54</f>
        <v>32.789192743269062</v>
      </c>
      <c r="Z54" s="1">
        <f ca="1">($E$36-$V54)*$O54</f>
        <v>-2.9445780776800663</v>
      </c>
      <c r="AA54" s="1">
        <f t="shared" ca="1" si="12"/>
        <v>-2.9445780776800663</v>
      </c>
      <c r="AB54" s="3">
        <f t="shared" ca="1" si="13"/>
        <v>29.844614665588995</v>
      </c>
      <c r="AC54" s="1">
        <f t="shared" si="14"/>
        <v>0.11000000000000001</v>
      </c>
      <c r="AD54" s="26"/>
    </row>
    <row r="55" spans="1:30" x14ac:dyDescent="0.4">
      <c r="A55" s="22"/>
      <c r="B55" s="2" t="s">
        <v>76</v>
      </c>
      <c r="C55" s="2">
        <f>RADIANS(180)</f>
        <v>3.1415926535897931</v>
      </c>
      <c r="D55" s="2">
        <f t="shared" si="0"/>
        <v>1.5707963267948966</v>
      </c>
      <c r="E55" s="2">
        <f t="shared" si="1"/>
        <v>0</v>
      </c>
      <c r="F55" s="2">
        <f t="shared" si="2"/>
        <v>0.5</v>
      </c>
      <c r="G55" s="2">
        <f t="shared" si="3"/>
        <v>0.5</v>
      </c>
      <c r="H55" s="2">
        <f t="shared" si="4"/>
        <v>127.5</v>
      </c>
      <c r="I55" s="2">
        <v>0</v>
      </c>
      <c r="J55" s="2">
        <v>0</v>
      </c>
      <c r="K55" s="49">
        <f t="shared" si="5"/>
        <v>4.08</v>
      </c>
      <c r="L55" s="1">
        <v>1</v>
      </c>
      <c r="M55" s="1">
        <v>1</v>
      </c>
      <c r="N55" s="1">
        <v>0.9</v>
      </c>
      <c r="O55" s="1">
        <f>熱伝達率!F6</f>
        <v>6.0680728569785138</v>
      </c>
      <c r="P55" s="1">
        <v>2.5</v>
      </c>
      <c r="Q55" s="1">
        <f t="shared" si="6"/>
        <v>0.11671235955767127</v>
      </c>
      <c r="R55" s="1">
        <v>0.04</v>
      </c>
      <c r="S55" s="1">
        <f t="shared" si="7"/>
        <v>2.8527777777777703</v>
      </c>
      <c r="T55" s="1">
        <f t="shared" si="8"/>
        <v>0.3322821987665277</v>
      </c>
      <c r="U55" s="1">
        <f t="shared" si="9"/>
        <v>0.30369495528935447</v>
      </c>
      <c r="V55" s="5">
        <f t="shared" ca="1" si="10"/>
        <v>95.239946005699267</v>
      </c>
      <c r="W55" s="5">
        <v>0</v>
      </c>
      <c r="X55" s="1">
        <f t="shared" ca="1" si="11"/>
        <v>98.917896132807996</v>
      </c>
      <c r="Y55" s="1">
        <f ca="1">($E$35-$V55)*$P55</f>
        <v>33.275979566764953</v>
      </c>
      <c r="Z55" s="1">
        <f ca="1">($E$36-$V55)*$O55</f>
        <v>-1.7630349133639844</v>
      </c>
      <c r="AA55" s="1">
        <f t="shared" ca="1" si="12"/>
        <v>-1.7630349133639844</v>
      </c>
      <c r="AB55" s="3">
        <f t="shared" ca="1" si="13"/>
        <v>31.512944653400968</v>
      </c>
      <c r="AC55" s="1">
        <f t="shared" si="14"/>
        <v>0.11000000000000001</v>
      </c>
      <c r="AD55" s="26"/>
    </row>
    <row r="56" spans="1:30" x14ac:dyDescent="0.4">
      <c r="A56" s="22"/>
      <c r="B56" s="2" t="s">
        <v>68</v>
      </c>
      <c r="C56" s="2">
        <f>RADIANS(0)</f>
        <v>0</v>
      </c>
      <c r="D56" s="2">
        <f>RADIANS(180)</f>
        <v>3.1415926535897931</v>
      </c>
      <c r="E56" s="2">
        <f t="shared" si="1"/>
        <v>0</v>
      </c>
      <c r="F56" s="2">
        <f t="shared" si="2"/>
        <v>0</v>
      </c>
      <c r="G56" s="2">
        <f t="shared" si="3"/>
        <v>1</v>
      </c>
      <c r="H56" s="2">
        <f t="shared" si="4"/>
        <v>55</v>
      </c>
      <c r="I56" s="2">
        <v>0</v>
      </c>
      <c r="J56" s="2">
        <v>0</v>
      </c>
      <c r="K56" s="49">
        <f t="shared" si="5"/>
        <v>1.76</v>
      </c>
      <c r="L56" s="1">
        <v>1</v>
      </c>
      <c r="M56" s="1">
        <v>1</v>
      </c>
      <c r="N56" s="1">
        <v>0.9</v>
      </c>
      <c r="O56" s="1">
        <f>熱伝達率!F7</f>
        <v>6.0680728569785138</v>
      </c>
      <c r="P56" s="1">
        <v>2.5</v>
      </c>
      <c r="Q56" s="1">
        <f t="shared" si="6"/>
        <v>0.11671235955767127</v>
      </c>
      <c r="R56" s="1">
        <v>0.04</v>
      </c>
      <c r="S56" s="1">
        <f t="shared" si="7"/>
        <v>2.8527777777777703</v>
      </c>
      <c r="T56" s="1">
        <f t="shared" si="8"/>
        <v>0.3322821987665277</v>
      </c>
      <c r="U56" s="1">
        <f t="shared" si="9"/>
        <v>0.30369495528935447</v>
      </c>
      <c r="V56" s="5">
        <f t="shared" ca="1" si="10"/>
        <v>111.23929455174834</v>
      </c>
      <c r="W56" s="5">
        <f>J57*$E$32/M56</f>
        <v>143.41637205799745</v>
      </c>
      <c r="X56" s="1">
        <f t="shared" ca="1" si="11"/>
        <v>115.65635931489776</v>
      </c>
      <c r="Y56" s="1">
        <f ca="1">($E$35-$V56)*$P56</f>
        <v>-6.7223917983577408</v>
      </c>
      <c r="Z56" s="1">
        <f ca="1">($E$36-$V56)*$O56</f>
        <v>-98.848247554983047</v>
      </c>
      <c r="AA56" s="1">
        <f t="shared" ca="1" si="12"/>
        <v>-98.848247554983047</v>
      </c>
      <c r="AB56" s="3">
        <f t="shared" ca="1" si="13"/>
        <v>37.845732704656655</v>
      </c>
      <c r="AC56" s="1">
        <v>0.45</v>
      </c>
      <c r="AD56" s="26"/>
    </row>
    <row r="57" spans="1:30" s="46" customFormat="1" x14ac:dyDescent="0.4">
      <c r="A57" s="40"/>
      <c r="B57" s="41" t="s">
        <v>64</v>
      </c>
      <c r="C57" s="41">
        <f>RADIANS(0)</f>
        <v>0</v>
      </c>
      <c r="D57" s="41">
        <f t="shared" si="0"/>
        <v>1.5707963267948966</v>
      </c>
      <c r="E57" s="41">
        <f t="shared" si="1"/>
        <v>0.83651630373780794</v>
      </c>
      <c r="F57" s="41">
        <f t="shared" si="2"/>
        <v>0.5</v>
      </c>
      <c r="G57" s="41">
        <f t="shared" si="3"/>
        <v>0.5</v>
      </c>
      <c r="H57" s="41">
        <f t="shared" si="4"/>
        <v>713.06141261646553</v>
      </c>
      <c r="I57" s="41">
        <f>$E$20*E57*$E$30+($E$21*F57+$E$26*G57)*$E$31</f>
        <v>-34.804505754766964</v>
      </c>
      <c r="J57" s="41">
        <f>($E$20*E57*$E$28+($E$21*F57+$E$26*G57)*$E$29)*M57</f>
        <v>286.8327441159949</v>
      </c>
      <c r="K57" s="53">
        <f>$E$19+I57/T57</f>
        <v>-7.4848399472617118</v>
      </c>
      <c r="L57" s="42">
        <v>1</v>
      </c>
      <c r="M57" s="42">
        <v>0.5</v>
      </c>
      <c r="N57" s="42">
        <v>0.9</v>
      </c>
      <c r="O57" s="42">
        <f>熱伝達率!F8</f>
        <v>5.5208863527334868</v>
      </c>
      <c r="P57" s="55">
        <f>1/0.11-O57</f>
        <v>3.5700227381756049</v>
      </c>
      <c r="Q57" s="42">
        <f>1/SUM(O57:P57)</f>
        <v>0.10999999999999999</v>
      </c>
      <c r="R57" s="42">
        <v>0.04</v>
      </c>
      <c r="S57" s="42">
        <f>1/4.65-0.11-0.04</f>
        <v>6.5053763440860196E-2</v>
      </c>
      <c r="T57" s="42">
        <f t="shared" si="8"/>
        <v>4.6500000000000004</v>
      </c>
      <c r="U57" s="42">
        <f t="shared" si="9"/>
        <v>2.5962964795438417</v>
      </c>
      <c r="V57" s="43">
        <f t="shared" ca="1" si="10"/>
        <v>45.163425462496335</v>
      </c>
      <c r="W57" s="43">
        <v>0</v>
      </c>
      <c r="X57" s="42">
        <f t="shared" ca="1" si="11"/>
        <v>100.29052424876294</v>
      </c>
      <c r="Y57" s="42">
        <f ca="1">($E$35-$V57)*$P57</f>
        <v>226.29271846331935</v>
      </c>
      <c r="Z57" s="42">
        <f ca="1">($E$36-$V57)*$O57</f>
        <v>274.86272504819522</v>
      </c>
      <c r="AA57" s="42">
        <f ca="1">Z57*M57</f>
        <v>137.43136252409761</v>
      </c>
      <c r="AB57" s="44">
        <f t="shared" ca="1" si="13"/>
        <v>501.15544351151459</v>
      </c>
      <c r="AC57" s="42">
        <f t="shared" ref="AC57:AC58" si="15">(1-$AC$56)*M57/SUM($M$52:$M$54,$M$56:$M$58)</f>
        <v>5.5000000000000007E-2</v>
      </c>
      <c r="AD57" s="45"/>
    </row>
    <row r="58" spans="1:30" s="23" customFormat="1" ht="19.5" thickBot="1" x14ac:dyDescent="0.45">
      <c r="A58" s="27"/>
      <c r="B58" s="28" t="s">
        <v>81</v>
      </c>
      <c r="C58" s="28"/>
      <c r="D58" s="28"/>
      <c r="E58" s="28"/>
      <c r="F58" s="28"/>
      <c r="G58" s="28"/>
      <c r="H58" s="28"/>
      <c r="I58" s="28"/>
      <c r="J58" s="28"/>
      <c r="K58" s="54">
        <f ca="1">X65</f>
        <v>101.85984277563297</v>
      </c>
      <c r="L58" s="29">
        <v>1</v>
      </c>
      <c r="M58" s="29">
        <v>1</v>
      </c>
      <c r="N58" s="29">
        <v>0.9</v>
      </c>
      <c r="O58" s="29">
        <f>熱伝達率!F9</f>
        <v>6.0680728569785138</v>
      </c>
      <c r="P58" s="29">
        <v>2.5</v>
      </c>
      <c r="Q58" s="29">
        <f>1/SUM(O58:P58)</f>
        <v>0.11671235955767127</v>
      </c>
      <c r="R58" s="29">
        <f>Q65</f>
        <v>0.11671235955767127</v>
      </c>
      <c r="S58" s="29">
        <f>0.055*2+0.07</f>
        <v>0.18</v>
      </c>
      <c r="T58" s="29">
        <f>1/(Q58+$S58+$R58)</f>
        <v>2.4188200505761417</v>
      </c>
      <c r="U58" s="29">
        <f t="shared" si="9"/>
        <v>1.4353125594540623</v>
      </c>
      <c r="V58" s="30">
        <f t="shared" ca="1" si="10"/>
        <v>99.748425896755364</v>
      </c>
      <c r="W58" s="30">
        <v>0</v>
      </c>
      <c r="X58" s="29">
        <f t="shared" ca="1" si="11"/>
        <v>98.917896132807996</v>
      </c>
      <c r="Y58" s="29">
        <f ca="1">($E$35-$V58)*$P58</f>
        <v>22.004779839124708</v>
      </c>
      <c r="Z58" s="29">
        <f ca="1">($E$36-$V58)*$O58</f>
        <v>-29.120819366514937</v>
      </c>
      <c r="AA58" s="29">
        <f ca="1">Z58*M58</f>
        <v>-29.120819366514937</v>
      </c>
      <c r="AB58" s="31">
        <f t="shared" ca="1" si="13"/>
        <v>-7.1160395273902282</v>
      </c>
      <c r="AC58" s="29">
        <f t="shared" si="15"/>
        <v>0.11000000000000001</v>
      </c>
      <c r="AD58" s="32"/>
    </row>
    <row r="59" spans="1:30" x14ac:dyDescent="0.4">
      <c r="A59" s="17" t="s">
        <v>72</v>
      </c>
      <c r="B59" s="18" t="s">
        <v>73</v>
      </c>
      <c r="C59" s="18">
        <f>RADIANS(0)</f>
        <v>0</v>
      </c>
      <c r="D59" s="18">
        <f t="shared" si="0"/>
        <v>1.5707963267948966</v>
      </c>
      <c r="E59" s="18">
        <f t="shared" si="1"/>
        <v>0.83651630373780794</v>
      </c>
      <c r="F59" s="18">
        <f t="shared" si="2"/>
        <v>0.5</v>
      </c>
      <c r="G59" s="18">
        <f t="shared" ref="G59:G64" si="16">1-F59</f>
        <v>0.5</v>
      </c>
      <c r="H59" s="18">
        <f t="shared" si="4"/>
        <v>713.06141261646553</v>
      </c>
      <c r="I59" s="18">
        <v>0</v>
      </c>
      <c r="J59" s="18">
        <v>0</v>
      </c>
      <c r="K59" s="48">
        <f t="shared" ref="K59:K63" si="17">$E$19+H59*0.8*R59</f>
        <v>22.817965203726899</v>
      </c>
      <c r="L59" s="19">
        <v>1</v>
      </c>
      <c r="M59" s="19">
        <v>0.5</v>
      </c>
      <c r="N59" s="19">
        <v>0.9</v>
      </c>
      <c r="O59" s="19">
        <f>熱伝達率!F3</f>
        <v>5.5208863527334868</v>
      </c>
      <c r="P59" s="19">
        <v>2.5</v>
      </c>
      <c r="Q59" s="19">
        <f t="shared" si="6"/>
        <v>0.12467450055057865</v>
      </c>
      <c r="R59" s="19">
        <v>0.04</v>
      </c>
      <c r="S59" s="19">
        <f t="shared" ref="S59:S63" si="18">0.075+2.77777777777777</f>
        <v>2.8527777777777703</v>
      </c>
      <c r="T59" s="19">
        <f t="shared" si="8"/>
        <v>0.33140540686661474</v>
      </c>
      <c r="U59" s="19">
        <f t="shared" si="9"/>
        <v>0.30369495528935447</v>
      </c>
      <c r="V59" s="20">
        <f t="shared" ca="1" si="10"/>
        <v>82.750025962314353</v>
      </c>
      <c r="W59" s="20">
        <v>0</v>
      </c>
      <c r="X59" s="19">
        <f t="shared" ref="X59:X65" ca="1" si="19">($E$43*$P59+$E$44*$O59)/SUM($P59,$O59)+W59/SUM(O59:P59)</f>
        <v>85.333010317159548</v>
      </c>
      <c r="Y59" s="19">
        <f ca="1">($E$43-$V59)*$P59</f>
        <v>24.752582365877807</v>
      </c>
      <c r="Z59" s="19">
        <f ca="1">($E$44-$V59)*$O59</f>
        <v>-4.0347584047757854</v>
      </c>
      <c r="AA59" s="19">
        <f t="shared" ca="1" si="12"/>
        <v>-2.0173792023878927</v>
      </c>
      <c r="AB59" s="21">
        <f t="shared" ca="1" si="13"/>
        <v>20.71782396110202</v>
      </c>
      <c r="AC59" s="19">
        <f t="shared" ref="AC59:AC64" si="20">(1-$AC$65)*M59/SUM($M$59:$M$61,$M$63:$M$65)</f>
        <v>5.5000000000000007E-2</v>
      </c>
      <c r="AD59" s="25">
        <f ca="1">SUMPRODUCT(V59:V65,AC59:AC65)</f>
        <v>88.269326871082626</v>
      </c>
    </row>
    <row r="60" spans="1:30" x14ac:dyDescent="0.4">
      <c r="A60" s="22"/>
      <c r="B60" s="2" t="s">
        <v>74</v>
      </c>
      <c r="C60" s="2">
        <f>RADIANS(90)</f>
        <v>1.5707963267948966</v>
      </c>
      <c r="D60" s="2">
        <f t="shared" si="0"/>
        <v>1.5707963267948966</v>
      </c>
      <c r="E60" s="2">
        <f t="shared" si="1"/>
        <v>0</v>
      </c>
      <c r="F60" s="2">
        <f t="shared" si="2"/>
        <v>0.5</v>
      </c>
      <c r="G60" s="2">
        <f t="shared" si="16"/>
        <v>0.5</v>
      </c>
      <c r="H60" s="2">
        <f t="shared" si="4"/>
        <v>127.5</v>
      </c>
      <c r="I60" s="2">
        <v>0</v>
      </c>
      <c r="J60" s="2">
        <v>0</v>
      </c>
      <c r="K60" s="49">
        <f t="shared" si="17"/>
        <v>4.08</v>
      </c>
      <c r="L60" s="1">
        <v>1</v>
      </c>
      <c r="M60" s="1">
        <v>1</v>
      </c>
      <c r="N60" s="1">
        <v>0.9</v>
      </c>
      <c r="O60" s="1">
        <f>熱伝達率!F4</f>
        <v>6.0680728569785138</v>
      </c>
      <c r="P60" s="1">
        <v>2.5</v>
      </c>
      <c r="Q60" s="1">
        <f t="shared" si="6"/>
        <v>0.11671235955767127</v>
      </c>
      <c r="R60" s="1">
        <v>0.04</v>
      </c>
      <c r="S60" s="1">
        <f t="shared" si="18"/>
        <v>2.8527777777777703</v>
      </c>
      <c r="T60" s="1">
        <f t="shared" si="8"/>
        <v>0.3322821987665277</v>
      </c>
      <c r="U60" s="1">
        <f t="shared" si="9"/>
        <v>0.30369495528935447</v>
      </c>
      <c r="V60" s="5">
        <f t="shared" ca="1" si="10"/>
        <v>81.978478237320203</v>
      </c>
      <c r="W60" s="5">
        <v>0</v>
      </c>
      <c r="X60" s="1">
        <f t="shared" ca="1" si="19"/>
        <v>85.12137959354321</v>
      </c>
      <c r="Y60" s="1">
        <f ca="1">($E$43-$V60)*$P60</f>
        <v>26.681451678363182</v>
      </c>
      <c r="Z60" s="1">
        <f ca="1">($E$44-$V60)*$O60</f>
        <v>0.24715612405200491</v>
      </c>
      <c r="AA60" s="1">
        <f t="shared" ca="1" si="12"/>
        <v>0.24715612405200491</v>
      </c>
      <c r="AB60" s="3">
        <f t="shared" ca="1" si="13"/>
        <v>26.928607802415186</v>
      </c>
      <c r="AC60" s="1">
        <f t="shared" si="20"/>
        <v>0.11000000000000001</v>
      </c>
      <c r="AD60" s="26"/>
    </row>
    <row r="61" spans="1:30" x14ac:dyDescent="0.4">
      <c r="A61" s="22"/>
      <c r="B61" s="2" t="s">
        <v>75</v>
      </c>
      <c r="C61" s="2">
        <f>RADIANS(-90)</f>
        <v>-1.5707963267948966</v>
      </c>
      <c r="D61" s="2">
        <f t="shared" si="0"/>
        <v>1.5707963267948966</v>
      </c>
      <c r="E61" s="2">
        <f t="shared" si="1"/>
        <v>0.22414386804201342</v>
      </c>
      <c r="F61" s="2">
        <f t="shared" si="2"/>
        <v>0.5</v>
      </c>
      <c r="G61" s="2">
        <f t="shared" si="16"/>
        <v>0.5</v>
      </c>
      <c r="H61" s="2">
        <f t="shared" si="4"/>
        <v>284.4007076294094</v>
      </c>
      <c r="I61" s="2">
        <v>0</v>
      </c>
      <c r="J61" s="2">
        <v>0</v>
      </c>
      <c r="K61" s="49">
        <f t="shared" si="17"/>
        <v>9.1008226441411022</v>
      </c>
      <c r="L61" s="1">
        <v>1</v>
      </c>
      <c r="M61" s="1">
        <v>1</v>
      </c>
      <c r="N61" s="1">
        <v>0.9</v>
      </c>
      <c r="O61" s="1">
        <f>熱伝達率!F5</f>
        <v>6.0680728569785138</v>
      </c>
      <c r="P61" s="1">
        <v>2.5</v>
      </c>
      <c r="Q61" s="1">
        <f t="shared" si="6"/>
        <v>0.11671235955767127</v>
      </c>
      <c r="R61" s="1">
        <v>0.04</v>
      </c>
      <c r="S61" s="1">
        <f t="shared" si="18"/>
        <v>2.8527777777777703</v>
      </c>
      <c r="T61" s="1">
        <f t="shared" si="8"/>
        <v>0.3322821987665277</v>
      </c>
      <c r="U61" s="1">
        <f t="shared" si="9"/>
        <v>0.30369495528935447</v>
      </c>
      <c r="V61" s="5">
        <f t="shared" ca="1" si="10"/>
        <v>82.17319296671856</v>
      </c>
      <c r="W61" s="5">
        <v>0</v>
      </c>
      <c r="X61" s="1">
        <f t="shared" ca="1" si="19"/>
        <v>85.12137959354321</v>
      </c>
      <c r="Y61" s="1">
        <f ca="1">($E$43-$V61)*$P61</f>
        <v>26.194664854867291</v>
      </c>
      <c r="Z61" s="1">
        <f ca="1">($E$44-$V61)*$O61</f>
        <v>-0.93438704026407671</v>
      </c>
      <c r="AA61" s="1">
        <f t="shared" ca="1" si="12"/>
        <v>-0.93438704026407671</v>
      </c>
      <c r="AB61" s="3">
        <f t="shared" ca="1" si="13"/>
        <v>25.260277814603214</v>
      </c>
      <c r="AC61" s="1">
        <f t="shared" si="20"/>
        <v>0.11000000000000001</v>
      </c>
      <c r="AD61" s="26"/>
    </row>
    <row r="62" spans="1:30" x14ac:dyDescent="0.4">
      <c r="A62" s="22"/>
      <c r="B62" s="2" t="s">
        <v>76</v>
      </c>
      <c r="C62" s="2">
        <f>RADIANS(180)</f>
        <v>3.1415926535897931</v>
      </c>
      <c r="D62" s="2">
        <f t="shared" si="0"/>
        <v>1.5707963267948966</v>
      </c>
      <c r="E62" s="2">
        <f t="shared" si="1"/>
        <v>0</v>
      </c>
      <c r="F62" s="2">
        <f t="shared" si="2"/>
        <v>0.5</v>
      </c>
      <c r="G62" s="2">
        <f t="shared" si="16"/>
        <v>0.5</v>
      </c>
      <c r="H62" s="2">
        <f t="shared" si="4"/>
        <v>127.5</v>
      </c>
      <c r="I62" s="2">
        <v>0</v>
      </c>
      <c r="J62" s="2">
        <v>0</v>
      </c>
      <c r="K62" s="49">
        <f t="shared" si="17"/>
        <v>4.08</v>
      </c>
      <c r="L62" s="1">
        <v>1</v>
      </c>
      <c r="M62" s="1">
        <v>1</v>
      </c>
      <c r="N62" s="1">
        <v>0.9</v>
      </c>
      <c r="O62" s="1">
        <f>熱伝達率!F6</f>
        <v>6.0680728569785138</v>
      </c>
      <c r="P62" s="1">
        <v>2.5</v>
      </c>
      <c r="Q62" s="1">
        <f t="shared" si="6"/>
        <v>0.11671235955767127</v>
      </c>
      <c r="R62" s="1">
        <v>0.04</v>
      </c>
      <c r="S62" s="1">
        <f t="shared" si="18"/>
        <v>2.8527777777777703</v>
      </c>
      <c r="T62" s="1">
        <f t="shared" si="8"/>
        <v>0.3322821987665277</v>
      </c>
      <c r="U62" s="1">
        <f t="shared" si="9"/>
        <v>0.30369495528935447</v>
      </c>
      <c r="V62" s="5">
        <f t="shared" ca="1" si="10"/>
        <v>81.978478237320203</v>
      </c>
      <c r="W62" s="5">
        <v>0</v>
      </c>
      <c r="X62" s="1">
        <f t="shared" ca="1" si="19"/>
        <v>85.12137959354321</v>
      </c>
      <c r="Y62" s="1">
        <f ca="1">($E$43-$V62)*$P62</f>
        <v>26.681451678363182</v>
      </c>
      <c r="Z62" s="1">
        <f ca="1">($E$44-$V62)*$O62</f>
        <v>0.24715612405200491</v>
      </c>
      <c r="AA62" s="1">
        <f t="shared" ca="1" si="12"/>
        <v>0.24715612405200491</v>
      </c>
      <c r="AB62" s="3">
        <f t="shared" ca="1" si="13"/>
        <v>26.928607802415186</v>
      </c>
      <c r="AC62" s="1">
        <f t="shared" si="20"/>
        <v>0.11000000000000001</v>
      </c>
      <c r="AD62" s="26"/>
    </row>
    <row r="63" spans="1:30" x14ac:dyDescent="0.4">
      <c r="A63" s="22"/>
      <c r="B63" s="2" t="s">
        <v>15</v>
      </c>
      <c r="C63" s="2">
        <f>RADIANS(0)</f>
        <v>0</v>
      </c>
      <c r="D63" s="2">
        <f>RADIANS(0)</f>
        <v>0</v>
      </c>
      <c r="E63" s="2">
        <f t="shared" si="1"/>
        <v>0.49999999999999994</v>
      </c>
      <c r="F63" s="2">
        <f t="shared" si="2"/>
        <v>1</v>
      </c>
      <c r="G63" s="2">
        <f t="shared" si="16"/>
        <v>0</v>
      </c>
      <c r="H63" s="2">
        <f t="shared" si="4"/>
        <v>550</v>
      </c>
      <c r="I63" s="2">
        <v>0</v>
      </c>
      <c r="J63" s="2">
        <v>0</v>
      </c>
      <c r="K63" s="49">
        <f t="shared" si="17"/>
        <v>17.600000000000001</v>
      </c>
      <c r="L63" s="1">
        <v>1</v>
      </c>
      <c r="M63" s="1">
        <v>1</v>
      </c>
      <c r="N63" s="1">
        <v>0.9</v>
      </c>
      <c r="O63" s="1">
        <f>熱伝達率!F7</f>
        <v>6.0680728569785138</v>
      </c>
      <c r="P63" s="1">
        <v>2.5</v>
      </c>
      <c r="Q63" s="1">
        <f t="shared" si="6"/>
        <v>0.11671235955767127</v>
      </c>
      <c r="R63" s="1">
        <v>0.04</v>
      </c>
      <c r="S63" s="1">
        <f t="shared" si="18"/>
        <v>2.8527777777777703</v>
      </c>
      <c r="T63" s="1">
        <f t="shared" si="8"/>
        <v>0.3322821987665277</v>
      </c>
      <c r="U63" s="1">
        <f t="shared" si="9"/>
        <v>0.30369495528935447</v>
      </c>
      <c r="V63" s="5">
        <f t="shared" ca="1" si="10"/>
        <v>82.502803298779554</v>
      </c>
      <c r="W63" s="5">
        <v>0</v>
      </c>
      <c r="X63" s="1">
        <f t="shared" ca="1" si="19"/>
        <v>85.12137959354321</v>
      </c>
      <c r="Y63" s="1">
        <f ca="1">($E$43-$V63)*$P63</f>
        <v>25.370639024714805</v>
      </c>
      <c r="Z63" s="1">
        <f ca="1">($E$44-$V63)*$O63</f>
        <v>-2.9344865496230716</v>
      </c>
      <c r="AA63" s="1">
        <f t="shared" ca="1" si="12"/>
        <v>-2.9344865496230716</v>
      </c>
      <c r="AB63" s="3">
        <f t="shared" ca="1" si="13"/>
        <v>22.436152475091735</v>
      </c>
      <c r="AC63" s="1">
        <f t="shared" si="20"/>
        <v>0.11000000000000001</v>
      </c>
      <c r="AD63" s="26"/>
    </row>
    <row r="64" spans="1:30" s="46" customFormat="1" x14ac:dyDescent="0.4">
      <c r="A64" s="40"/>
      <c r="B64" s="41" t="s">
        <v>64</v>
      </c>
      <c r="C64" s="41">
        <f>RADIANS(0)</f>
        <v>0</v>
      </c>
      <c r="D64" s="41">
        <f t="shared" si="0"/>
        <v>1.5707963267948966</v>
      </c>
      <c r="E64" s="41">
        <f t="shared" si="1"/>
        <v>0.83651630373780794</v>
      </c>
      <c r="F64" s="41">
        <f t="shared" si="2"/>
        <v>0.5</v>
      </c>
      <c r="G64" s="41">
        <f t="shared" si="16"/>
        <v>0.5</v>
      </c>
      <c r="H64" s="41">
        <f t="shared" si="4"/>
        <v>713.06141261646553</v>
      </c>
      <c r="I64" s="41">
        <f>$E$20*E64*$E$30+($E$21*F64+$E$26*G64)*$E$31</f>
        <v>-34.804505754766964</v>
      </c>
      <c r="J64" s="41">
        <f>($E$20*E64*$E$28+($E$21*F64+$E$26*G64)*$E$29)*M64</f>
        <v>286.8327441159949</v>
      </c>
      <c r="K64" s="53">
        <f>$E$19+I64/T64</f>
        <v>-7.4848399472617118</v>
      </c>
      <c r="L64" s="42">
        <v>1</v>
      </c>
      <c r="M64" s="42">
        <v>0.5</v>
      </c>
      <c r="N64" s="42">
        <v>0.9</v>
      </c>
      <c r="O64" s="42">
        <f>熱伝達率!F8</f>
        <v>5.5208863527334868</v>
      </c>
      <c r="P64" s="55">
        <f>1/0.11-O64</f>
        <v>3.5700227381756049</v>
      </c>
      <c r="Q64" s="42">
        <f>1/SUM(O64:P64)</f>
        <v>0.10999999999999999</v>
      </c>
      <c r="R64" s="42">
        <v>0.04</v>
      </c>
      <c r="S64" s="42">
        <f>1/4.65-0.11-0.04</f>
        <v>6.5053763440860196E-2</v>
      </c>
      <c r="T64" s="42">
        <f t="shared" si="8"/>
        <v>4.6500000000000004</v>
      </c>
      <c r="U64" s="42">
        <f t="shared" si="9"/>
        <v>2.5962964795438417</v>
      </c>
      <c r="V64" s="43">
        <f t="shared" ca="1" si="10"/>
        <v>38.277450663301416</v>
      </c>
      <c r="W64" s="43">
        <v>0</v>
      </c>
      <c r="X64" s="42">
        <f t="shared" ca="1" si="19"/>
        <v>86.194362940277941</v>
      </c>
      <c r="Y64" s="42">
        <f ca="1">($E$43-$V64)*$P64</f>
        <v>194.11501779260226</v>
      </c>
      <c r="Z64" s="42">
        <f ca="1">($E$44-$V64)*$O64</f>
        <v>241.49327563445712</v>
      </c>
      <c r="AA64" s="42">
        <f ca="1">Z64*M64</f>
        <v>120.74663781722856</v>
      </c>
      <c r="AB64" s="44">
        <f t="shared" ca="1" si="13"/>
        <v>435.60829342705938</v>
      </c>
      <c r="AC64" s="42">
        <f t="shared" si="20"/>
        <v>5.5000000000000007E-2</v>
      </c>
      <c r="AD64" s="45"/>
    </row>
    <row r="65" spans="1:30" s="23" customFormat="1" ht="19.5" thickBot="1" x14ac:dyDescent="0.45">
      <c r="A65" s="27"/>
      <c r="B65" s="28" t="s">
        <v>68</v>
      </c>
      <c r="C65" s="28"/>
      <c r="D65" s="28"/>
      <c r="E65" s="28"/>
      <c r="F65" s="28"/>
      <c r="G65" s="28"/>
      <c r="H65" s="28"/>
      <c r="I65" s="28"/>
      <c r="J65" s="28"/>
      <c r="K65" s="54">
        <f ca="1">X58</f>
        <v>98.917896132807996</v>
      </c>
      <c r="L65" s="29">
        <v>1</v>
      </c>
      <c r="M65" s="29">
        <v>1</v>
      </c>
      <c r="N65" s="29">
        <v>0.9</v>
      </c>
      <c r="O65" s="29">
        <f>熱伝達率!F9</f>
        <v>6.0680728569785138</v>
      </c>
      <c r="P65" s="29">
        <v>2.5</v>
      </c>
      <c r="Q65" s="29">
        <f>1/SUM(O65:P65)</f>
        <v>0.11671235955767127</v>
      </c>
      <c r="R65" s="29">
        <f>Q58</f>
        <v>0.11671235955767127</v>
      </c>
      <c r="S65" s="29">
        <f>0.055*2+0.07</f>
        <v>0.18</v>
      </c>
      <c r="T65" s="29">
        <f>1/(Q65+$S65+$R65)</f>
        <v>2.4188200505761417</v>
      </c>
      <c r="U65" s="29">
        <f t="shared" si="9"/>
        <v>1.4353125594540623</v>
      </c>
      <c r="V65" s="30">
        <f t="shared" ca="1" si="10"/>
        <v>101.0293130116856</v>
      </c>
      <c r="W65" s="30">
        <f>J64*$E$32/M65</f>
        <v>143.41637205799745</v>
      </c>
      <c r="X65" s="29">
        <f t="shared" ca="1" si="19"/>
        <v>101.85984277563297</v>
      </c>
      <c r="Y65" s="29">
        <f ca="1">($E$43-$V65)*$P65</f>
        <v>-20.945635257550315</v>
      </c>
      <c r="Z65" s="29">
        <f ca="1">($E$44-$V65)*$O65</f>
        <v>-115.35469727305706</v>
      </c>
      <c r="AA65" s="29">
        <f ca="1">Z65*M65</f>
        <v>-115.35469727305706</v>
      </c>
      <c r="AB65" s="31">
        <f t="shared" ca="1" si="13"/>
        <v>7.1160395273900861</v>
      </c>
      <c r="AC65" s="29">
        <v>0.45</v>
      </c>
      <c r="AD65" s="32"/>
    </row>
    <row r="67" spans="1:30" x14ac:dyDescent="0.4">
      <c r="X67" s="36" t="str">
        <f ca="1">_xlfn.TEXTJOIN(", ",TRUE,X52:X56,X59:X63,X57,X64,X58,X65)</f>
        <v>99.1886275307553, 98.917896132808, 98.917896132808, 98.917896132808, 115.656359314898, 85.3330103171595, 85.1213795935432, 85.1213795935432, 85.1213795935432, 85.1213795935432, 100.290524248763, 86.1943629402779, 98.917896132808, 101.859842775633</v>
      </c>
      <c r="AB67" s="35" t="str">
        <f ca="1">_xlfn.TEXTJOIN(", ",TRUE,AB52:AB56,AB59:AB63,AB57,AB64,AB58,AB65)</f>
        <v>25.3096504211619, 31.512944653401, 29.844614665589, 31.512944653401, 37.8457327046567, 20.717823961102, 26.9286078024152, 25.2602778146032, 26.9286078024152, 22.4361524750917, 501.155443511515, 435.608293427059, -7.11603952739023, 7.11603952739009</v>
      </c>
    </row>
    <row r="70" spans="1:30" x14ac:dyDescent="0.4">
      <c r="R70" s="34"/>
      <c r="V70" s="33"/>
      <c r="W70" s="33"/>
    </row>
    <row r="71" spans="1:30" x14ac:dyDescent="0.4">
      <c r="O71" s="34"/>
      <c r="S71" s="33"/>
    </row>
    <row r="72" spans="1:30" x14ac:dyDescent="0.4">
      <c r="O72" s="34"/>
      <c r="S72" s="33"/>
    </row>
    <row r="73" spans="1:30" x14ac:dyDescent="0.4">
      <c r="O73" s="34"/>
      <c r="S73" s="33"/>
    </row>
    <row r="74" spans="1:30" x14ac:dyDescent="0.4">
      <c r="O74" s="34"/>
      <c r="S74" s="33"/>
    </row>
    <row r="75" spans="1:30" x14ac:dyDescent="0.4">
      <c r="O75" s="34"/>
      <c r="S75" s="33"/>
    </row>
    <row r="76" spans="1:30" x14ac:dyDescent="0.4">
      <c r="O76" s="34"/>
      <c r="S76" s="33"/>
    </row>
    <row r="77" spans="1:30" x14ac:dyDescent="0.4">
      <c r="O77" s="34"/>
      <c r="S77" s="33"/>
    </row>
    <row r="78" spans="1:30" x14ac:dyDescent="0.4">
      <c r="O78" s="34"/>
      <c r="S78" s="33"/>
    </row>
    <row r="79" spans="1:30" x14ac:dyDescent="0.4">
      <c r="O79" s="34"/>
      <c r="S79" s="33"/>
    </row>
    <row r="80" spans="1:30" x14ac:dyDescent="0.4">
      <c r="O80" s="34"/>
      <c r="S80" s="33"/>
    </row>
    <row r="81" spans="15:19" x14ac:dyDescent="0.4">
      <c r="O81" s="34"/>
      <c r="S81" s="33"/>
    </row>
    <row r="82" spans="15:19" x14ac:dyDescent="0.4">
      <c r="O82" s="34"/>
      <c r="S82" s="33"/>
    </row>
    <row r="83" spans="15:19" x14ac:dyDescent="0.4">
      <c r="O83" s="34"/>
      <c r="S83" s="33"/>
    </row>
  </sheetData>
  <mergeCells count="4">
    <mergeCell ref="A18:C18"/>
    <mergeCell ref="B33:B40"/>
    <mergeCell ref="A33:A48"/>
    <mergeCell ref="B41:B48"/>
  </mergeCells>
  <phoneticPr fontId="3"/>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2025-02-14T10:27:00Z</dcterms:modified>
</cp:coreProperties>
</file>